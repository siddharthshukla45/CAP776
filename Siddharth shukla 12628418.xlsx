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1A52482-6896-40C8-8B3B-C89E57A58A35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6" i="2" l="1"/>
  <c r="J26" i="2" s="1"/>
  <c r="F26" i="2"/>
  <c r="F7" i="2"/>
  <c r="I7" i="2" s="1"/>
  <c r="J7" i="2" s="1"/>
  <c r="F8" i="2"/>
  <c r="I8" i="2" s="1"/>
  <c r="J8" i="2" s="1"/>
  <c r="F9" i="2"/>
  <c r="I9" i="2" s="1"/>
  <c r="J9" i="2" s="1"/>
  <c r="F10" i="2"/>
  <c r="I10" i="2" s="1"/>
  <c r="J10" i="2" s="1"/>
  <c r="F11" i="2"/>
  <c r="I11" i="2" s="1"/>
  <c r="J11" i="2" s="1"/>
  <c r="F12" i="2"/>
  <c r="I12" i="2" s="1"/>
  <c r="J12" i="2" s="1"/>
  <c r="F13" i="2"/>
  <c r="I13" i="2" s="1"/>
  <c r="J13" i="2" s="1"/>
  <c r="F14" i="2"/>
  <c r="I14" i="2" s="1"/>
  <c r="J14" i="2" s="1"/>
  <c r="F15" i="2"/>
  <c r="I15" i="2" s="1"/>
  <c r="J15" i="2" s="1"/>
  <c r="F16" i="2"/>
  <c r="I16" i="2" s="1"/>
  <c r="J16" i="2" s="1"/>
  <c r="F17" i="2"/>
  <c r="I17" i="2" s="1"/>
  <c r="J17" i="2" s="1"/>
  <c r="F18" i="2"/>
  <c r="I18" i="2" s="1"/>
  <c r="J18" i="2" s="1"/>
  <c r="F19" i="2"/>
  <c r="I19" i="2" s="1"/>
  <c r="J19" i="2" s="1"/>
  <c r="F20" i="2"/>
  <c r="I20" i="2" s="1"/>
  <c r="J20" i="2" s="1"/>
  <c r="F21" i="2"/>
  <c r="I21" i="2" s="1"/>
  <c r="J21" i="2" s="1"/>
  <c r="F22" i="2"/>
  <c r="I22" i="2" s="1"/>
  <c r="J22" i="2" s="1"/>
  <c r="F23" i="2"/>
  <c r="I23" i="2" s="1"/>
  <c r="J23" i="2" s="1"/>
  <c r="F24" i="2"/>
  <c r="I24" i="2" s="1"/>
  <c r="J24" i="2" s="1"/>
  <c r="F25" i="2"/>
  <c r="I25" i="2" s="1"/>
  <c r="J25" i="2" s="1"/>
  <c r="F27" i="2"/>
  <c r="I27" i="2" s="1"/>
  <c r="J27" i="2" s="1"/>
  <c r="F28" i="2"/>
  <c r="I28" i="2" s="1"/>
  <c r="J28" i="2" s="1"/>
  <c r="F29" i="2"/>
  <c r="I29" i="2" s="1"/>
  <c r="J29" i="2" s="1"/>
  <c r="F30" i="2"/>
  <c r="I30" i="2" s="1"/>
  <c r="J30" i="2" s="1"/>
  <c r="F31" i="2"/>
  <c r="I31" i="2" s="1"/>
  <c r="J31" i="2" s="1"/>
  <c r="F32" i="2"/>
  <c r="I32" i="2" s="1"/>
  <c r="J32" i="2" s="1"/>
  <c r="F33" i="2"/>
  <c r="I33" i="2" s="1"/>
  <c r="J33" i="2" s="1"/>
  <c r="F34" i="2"/>
  <c r="I34" i="2" s="1"/>
  <c r="J34" i="2" s="1"/>
  <c r="F35" i="2"/>
  <c r="I35" i="2" s="1"/>
  <c r="J35" i="2" s="1"/>
  <c r="F36" i="2"/>
  <c r="I36" i="2" s="1"/>
  <c r="J36" i="2" s="1"/>
  <c r="F37" i="2"/>
  <c r="I37" i="2" s="1"/>
  <c r="J37" i="2" s="1"/>
  <c r="F38" i="2"/>
  <c r="I38" i="2" s="1"/>
  <c r="J38" i="2" s="1"/>
  <c r="F39" i="2"/>
  <c r="I39" i="2" s="1"/>
  <c r="J39" i="2" s="1"/>
  <c r="F40" i="2"/>
  <c r="I40" i="2" s="1"/>
  <c r="J40" i="2" s="1"/>
  <c r="F41" i="2"/>
  <c r="I41" i="2" s="1"/>
  <c r="J41" i="2" s="1"/>
  <c r="F42" i="2"/>
  <c r="I42" i="2" s="1"/>
  <c r="J42" i="2" s="1"/>
  <c r="F43" i="2"/>
  <c r="I43" i="2" s="1"/>
  <c r="J43" i="2" s="1"/>
  <c r="F44" i="2"/>
  <c r="I44" i="2" s="1"/>
  <c r="J44" i="2" s="1"/>
  <c r="F45" i="2"/>
  <c r="I45" i="2" s="1"/>
  <c r="J45" i="2" s="1"/>
  <c r="F46" i="2"/>
  <c r="I46" i="2" s="1"/>
  <c r="J46" i="2" s="1"/>
  <c r="F47" i="2"/>
  <c r="I47" i="2" s="1"/>
  <c r="J47" i="2" s="1"/>
  <c r="F48" i="2"/>
  <c r="I48" i="2" s="1"/>
  <c r="J48" i="2" s="1"/>
  <c r="F49" i="2"/>
  <c r="I49" i="2" s="1"/>
  <c r="J49" i="2" s="1"/>
  <c r="F50" i="2"/>
  <c r="I50" i="2" s="1"/>
  <c r="J50" i="2" s="1"/>
  <c r="F51" i="2"/>
  <c r="I51" i="2" s="1"/>
  <c r="J51" i="2" s="1"/>
  <c r="F6" i="2"/>
  <c r="I52" i="2"/>
  <c r="J5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6" i="2"/>
  <c r="J6" i="2" s="1"/>
</calcChain>
</file>

<file path=xl/sharedStrings.xml><?xml version="1.0" encoding="utf-8"?>
<sst xmlns="http://schemas.openxmlformats.org/spreadsheetml/2006/main" count="233" uniqueCount="107">
  <si>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</si>
  <si>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</si>
  <si>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</si>
  <si>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</si>
  <si>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</si>
  <si>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</si>
  <si>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</si>
  <si>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</si>
  <si>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</si>
  <si>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</si>
  <si>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</si>
  <si>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</si>
  <si>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</si>
  <si>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</si>
  <si>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</si>
  <si>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</si>
  <si>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</si>
  <si>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</si>
  <si>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</si>
  <si>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</si>
  <si>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</si>
  <si>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</si>
  <si>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</si>
  <si>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</si>
  <si>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</si>
  <si>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</si>
  <si>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</si>
  <si>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</si>
  <si>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</si>
  <si>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</si>
  <si>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</si>
  <si>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</si>
  <si>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</si>
  <si>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</si>
  <si>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</si>
  <si>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</si>
  <si>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</si>
  <si>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</si>
  <si>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</si>
  <si>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</si>
  <si>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</si>
  <si>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</si>
  <si>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</si>
  <si>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</si>
  <si>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</si>
  <si>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</si>
  <si>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</si>
  <si>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</si>
  <si>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</si>
  <si>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</si>
  <si>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</si>
  <si>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</si>
  <si>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</si>
  <si>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Neutral</t>
  </si>
  <si>
    <t>Low</t>
  </si>
  <si>
    <t>Feeling exhausted after the class hours.</t>
  </si>
  <si>
    <t>Got a Good sleep today.</t>
  </si>
  <si>
    <t>Excellent</t>
  </si>
  <si>
    <t>Very Satisfied</t>
  </si>
  <si>
    <t>Happy still one day left in the weekend.</t>
  </si>
  <si>
    <t>High</t>
  </si>
  <si>
    <t>Excited because classes r about to start.</t>
  </si>
  <si>
    <t xml:space="preserve">Nice day </t>
  </si>
  <si>
    <t xml:space="preserve">Relaxed </t>
  </si>
  <si>
    <t>Satisfactory day,covered the targeted topics</t>
  </si>
  <si>
    <t>The weather was good today as some rain poured down.</t>
  </si>
  <si>
    <t>Unsatisfied</t>
  </si>
  <si>
    <t>Was stuck on a problem in SQL.</t>
  </si>
  <si>
    <t>Completed the targeted topics.</t>
  </si>
  <si>
    <t>Weekends are here.</t>
  </si>
  <si>
    <t>Solved a good set of SQL problems.</t>
  </si>
  <si>
    <t>Laptop encountered an issue.</t>
  </si>
  <si>
    <t>Stressed</t>
  </si>
  <si>
    <t xml:space="preserve">Weather's too hot and humid. </t>
  </si>
  <si>
    <t>Had a good meal today.</t>
  </si>
  <si>
    <t>Waiting for the weekend.</t>
  </si>
  <si>
    <t>Learnt new Sql Query techniques.</t>
  </si>
  <si>
    <t>Met an old friend.</t>
  </si>
  <si>
    <t>Started studying networking.</t>
  </si>
  <si>
    <t>Practiced few questions on Cisco Packet Tracer.</t>
  </si>
  <si>
    <t>Practiced SQL joins and revised important database concepts.</t>
  </si>
  <si>
    <t>Worked on C++ concepts and practiced constructor examples.</t>
  </si>
  <si>
    <t>Used the weekend for deeper study and practiced programming questions.</t>
  </si>
  <si>
    <t>Revised networking physical layer formulas and solved practice questions.</t>
  </si>
  <si>
    <t>Had regular classes and revised the topics covered during the day.</t>
  </si>
  <si>
    <t>Long class schedule made the day tiring, but completed the planned study.</t>
  </si>
  <si>
    <t>Practiced DBMS queries and revised ACID properties.</t>
  </si>
  <si>
    <t>Worked on SQL subqueries and completed additional practice questions.</t>
  </si>
  <si>
    <t>Revised C++ constructors and practiced basic programs.</t>
  </si>
  <si>
    <t>Weekend study was productive and completed several programming exercises.</t>
  </si>
  <si>
    <t>Relaxed during the weekend and revised networking and DBMS topics.</t>
  </si>
  <si>
    <t>Attended classes and revised important theory topics afterward.</t>
  </si>
  <si>
    <t>Felt tired after a long class schedule and had difficulty maintaining concentration.</t>
  </si>
  <si>
    <t>Completed DBMS revision and practiced joins and subqueries.</t>
  </si>
  <si>
    <t>Had a productive academic day and revised class material.</t>
  </si>
  <si>
    <t>Focused on programming practice and completed multiple revision tasks.</t>
  </si>
  <si>
    <t>Returned to regular classes and revised the day's lecture topics.</t>
  </si>
  <si>
    <t>Had a busy class schedule and spent extra time solving DBMS questions.</t>
  </si>
  <si>
    <t>Practiced C++ constructors and revised important theory for the upcoming assessment.</t>
  </si>
  <si>
    <t>Completed revision of networking and DBMS topics and practiced MCQs.</t>
  </si>
  <si>
    <t>Started the month with focused study and revised DBMS concepts.</t>
  </si>
  <si>
    <t>Completed the planned topics and revised class notes.</t>
  </si>
  <si>
    <t>Learnt new C++ concepts and practiced constructor-related programs.</t>
  </si>
  <si>
    <t>Productive day with focused study, coding practice, and revision of important topics.</t>
  </si>
  <si>
    <t>August, September</t>
  </si>
  <si>
    <t>Siddharth Shukla</t>
  </si>
  <si>
    <t>CAP-776/D1P2636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</si>
</sst>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i/>
      <sz val="11"/>
      <color theme="1" tint="0.249977111117893"/>
      <name val="Calibri"/>
      <family val="2"/>
      <charset val="1"/>
    </font>
    <font>
      <i/>
      <sz val="11"/>
      <color theme="1" tint="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0" borderId="0" xfId="0" applyFont="1"/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92" zoomScaleNormal="110" workbookViewId="0">
      <pane xSplit="1" ySplit="5" topLeftCell="B47" activePane="bottomRight" state="frozen"/>
      <selection pane="topRight" activeCell="B1" sqref="B1"/>
      <selection pane="bottomLeft" activeCell="A6" sqref="A6"/>
      <selection pane="bottomRight" activeCell="L51" sqref="L51"/>
    </sheetView>
  </sheetViews>
  <sheetFormatPr defaultColWidth="8.6640625" defaultRowHeight="14.4" x14ac:dyDescent="0.3"/>
  <cols>
    <col min="1" max="1" width="12" customWidth="1"/>
    <col min="2" max="3" width="11" customWidth="1"/>
    <col min="4" max="4" width="6.6640625" bestFit="1" customWidth="1"/>
    <col min="5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105</v>
      </c>
      <c r="C2" s="21"/>
      <c r="D2" s="21"/>
      <c r="E2" s="6" t="s">
        <v>31</v>
      </c>
      <c r="F2" s="22">
        <v>12628418</v>
      </c>
      <c r="G2" s="22"/>
    </row>
    <row r="3" spans="1:14" ht="19.5" customHeight="1" x14ac:dyDescent="0.3">
      <c r="A3" s="6" t="s">
        <v>32</v>
      </c>
      <c r="B3" s="21" t="s">
        <v>106</v>
      </c>
      <c r="C3" s="21"/>
      <c r="D3" s="21"/>
      <c r="E3" s="6" t="s">
        <v>33</v>
      </c>
      <c r="F3" s="21" t="s">
        <v>104</v>
      </c>
      <c r="G3" s="21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s="18" customFormat="1" ht="28.8" x14ac:dyDescent="0.3">
      <c r="A6" s="13">
        <v>46245</v>
      </c>
      <c r="B6" s="14">
        <v>420</v>
      </c>
      <c r="C6" s="14">
        <v>30</v>
      </c>
      <c r="D6" s="14">
        <v>300</v>
      </c>
      <c r="E6" s="14">
        <v>120</v>
      </c>
      <c r="F6" s="14">
        <f>(G6*50)</f>
        <v>350</v>
      </c>
      <c r="G6" s="14">
        <v>7</v>
      </c>
      <c r="H6" s="14">
        <v>60</v>
      </c>
      <c r="I6" s="15">
        <f t="shared" ref="I6:I69" si="0">IF(SUM(B6:F6,H6)=0,"",SUM(B6:F6,H6))</f>
        <v>1280</v>
      </c>
      <c r="J6" s="15">
        <f t="shared" ref="J6:J69" si="1">IF(I6="","",1440-I6)</f>
        <v>160</v>
      </c>
      <c r="K6" s="16" t="s">
        <v>49</v>
      </c>
      <c r="L6" s="16" t="s">
        <v>53</v>
      </c>
      <c r="M6" s="16" t="s">
        <v>54</v>
      </c>
      <c r="N6" s="17" t="s">
        <v>55</v>
      </c>
    </row>
    <row r="7" spans="1:14" s="18" customFormat="1" x14ac:dyDescent="0.3">
      <c r="A7" s="13">
        <v>46246</v>
      </c>
      <c r="B7" s="14">
        <v>420</v>
      </c>
      <c r="C7" s="14">
        <v>20</v>
      </c>
      <c r="D7" s="14">
        <v>300</v>
      </c>
      <c r="E7" s="14">
        <v>120</v>
      </c>
      <c r="F7" s="14">
        <f t="shared" ref="F7:F51" si="2">(G7*50)</f>
        <v>200</v>
      </c>
      <c r="G7" s="14">
        <v>4</v>
      </c>
      <c r="H7" s="14">
        <v>120</v>
      </c>
      <c r="I7" s="15">
        <f t="shared" si="0"/>
        <v>1180</v>
      </c>
      <c r="J7" s="15">
        <f t="shared" si="1"/>
        <v>260</v>
      </c>
      <c r="K7" s="16" t="s">
        <v>49</v>
      </c>
      <c r="L7" s="16" t="s">
        <v>50</v>
      </c>
      <c r="M7" s="16" t="s">
        <v>51</v>
      </c>
      <c r="N7" s="17" t="s">
        <v>56</v>
      </c>
    </row>
    <row r="8" spans="1:14" s="18" customFormat="1" x14ac:dyDescent="0.3">
      <c r="A8" s="13">
        <v>46247</v>
      </c>
      <c r="B8" s="14">
        <v>420</v>
      </c>
      <c r="C8" s="14">
        <v>25</v>
      </c>
      <c r="D8" s="14">
        <v>200</v>
      </c>
      <c r="E8" s="14">
        <v>120</v>
      </c>
      <c r="F8" s="14">
        <f t="shared" si="2"/>
        <v>350</v>
      </c>
      <c r="G8" s="14">
        <v>7</v>
      </c>
      <c r="H8" s="14">
        <v>150</v>
      </c>
      <c r="I8" s="15">
        <f t="shared" si="0"/>
        <v>1265</v>
      </c>
      <c r="J8" s="15">
        <f t="shared" si="1"/>
        <v>175</v>
      </c>
      <c r="K8" s="16" t="s">
        <v>53</v>
      </c>
      <c r="L8" s="16" t="s">
        <v>53</v>
      </c>
      <c r="M8" s="16" t="s">
        <v>54</v>
      </c>
      <c r="N8" s="17" t="s">
        <v>75</v>
      </c>
    </row>
    <row r="9" spans="1:14" s="18" customFormat="1" x14ac:dyDescent="0.3">
      <c r="A9" s="13">
        <v>46248</v>
      </c>
      <c r="B9" s="14">
        <v>420</v>
      </c>
      <c r="C9" s="14">
        <v>40</v>
      </c>
      <c r="D9" s="14">
        <v>300</v>
      </c>
      <c r="E9" s="14">
        <v>120</v>
      </c>
      <c r="F9" s="14">
        <f t="shared" si="2"/>
        <v>300</v>
      </c>
      <c r="G9" s="14">
        <v>6</v>
      </c>
      <c r="H9" s="14">
        <v>150</v>
      </c>
      <c r="I9" s="15">
        <f t="shared" si="0"/>
        <v>1330</v>
      </c>
      <c r="J9" s="15">
        <f t="shared" si="1"/>
        <v>110</v>
      </c>
      <c r="K9" s="16" t="s">
        <v>49</v>
      </c>
      <c r="L9" s="16" t="s">
        <v>50</v>
      </c>
      <c r="M9" s="16" t="s">
        <v>51</v>
      </c>
      <c r="N9" s="17" t="s">
        <v>62</v>
      </c>
    </row>
    <row r="10" spans="1:14" s="18" customFormat="1" ht="28.8" x14ac:dyDescent="0.3">
      <c r="A10" s="13">
        <v>46249</v>
      </c>
      <c r="B10" s="14">
        <v>600</v>
      </c>
      <c r="C10" s="14">
        <v>45</v>
      </c>
      <c r="D10" s="14">
        <v>250</v>
      </c>
      <c r="E10" s="14">
        <v>180</v>
      </c>
      <c r="F10" s="14">
        <f t="shared" si="2"/>
        <v>0</v>
      </c>
      <c r="G10" s="14">
        <v>0</v>
      </c>
      <c r="H10" s="14">
        <v>120</v>
      </c>
      <c r="I10" s="15">
        <f t="shared" si="0"/>
        <v>1195</v>
      </c>
      <c r="J10" s="15">
        <f t="shared" si="1"/>
        <v>245</v>
      </c>
      <c r="K10" s="16" t="s">
        <v>57</v>
      </c>
      <c r="L10" s="16" t="s">
        <v>58</v>
      </c>
      <c r="M10" s="16" t="s">
        <v>60</v>
      </c>
      <c r="N10" s="17" t="s">
        <v>59</v>
      </c>
    </row>
    <row r="11" spans="1:14" s="18" customFormat="1" ht="28.8" x14ac:dyDescent="0.3">
      <c r="A11" s="13">
        <v>46250</v>
      </c>
      <c r="B11" s="14">
        <v>600</v>
      </c>
      <c r="C11" s="14">
        <v>30</v>
      </c>
      <c r="D11" s="14">
        <v>150</v>
      </c>
      <c r="E11" s="14">
        <v>120</v>
      </c>
      <c r="F11" s="14">
        <f t="shared" si="2"/>
        <v>0</v>
      </c>
      <c r="G11" s="14">
        <v>0</v>
      </c>
      <c r="H11" s="14">
        <v>240</v>
      </c>
      <c r="I11" s="15">
        <f t="shared" si="0"/>
        <v>1140</v>
      </c>
      <c r="J11" s="15">
        <f t="shared" si="1"/>
        <v>300</v>
      </c>
      <c r="K11" s="16" t="s">
        <v>57</v>
      </c>
      <c r="L11" s="16" t="s">
        <v>58</v>
      </c>
      <c r="M11" s="16" t="s">
        <v>51</v>
      </c>
      <c r="N11" s="17" t="s">
        <v>61</v>
      </c>
    </row>
    <row r="12" spans="1:14" s="18" customFormat="1" x14ac:dyDescent="0.3">
      <c r="A12" s="13">
        <v>46251</v>
      </c>
      <c r="B12" s="14">
        <v>435</v>
      </c>
      <c r="C12" s="14">
        <v>35</v>
      </c>
      <c r="D12" s="14">
        <v>300</v>
      </c>
      <c r="E12" s="14">
        <v>120</v>
      </c>
      <c r="F12" s="14">
        <f t="shared" si="2"/>
        <v>150</v>
      </c>
      <c r="G12" s="14">
        <v>3</v>
      </c>
      <c r="H12" s="14">
        <v>160</v>
      </c>
      <c r="I12" s="15">
        <f t="shared" si="0"/>
        <v>1200</v>
      </c>
      <c r="J12" s="15">
        <f t="shared" si="1"/>
        <v>240</v>
      </c>
      <c r="K12" s="16" t="s">
        <v>49</v>
      </c>
      <c r="L12" s="16" t="s">
        <v>58</v>
      </c>
      <c r="M12" s="16" t="s">
        <v>60</v>
      </c>
      <c r="N12" s="17" t="s">
        <v>74</v>
      </c>
    </row>
    <row r="13" spans="1:14" s="18" customFormat="1" x14ac:dyDescent="0.3">
      <c r="A13" s="13">
        <v>46252</v>
      </c>
      <c r="B13" s="14">
        <v>400</v>
      </c>
      <c r="C13" s="14">
        <v>20</v>
      </c>
      <c r="D13" s="14">
        <v>300</v>
      </c>
      <c r="E13" s="14">
        <v>120</v>
      </c>
      <c r="F13" s="14">
        <f t="shared" si="2"/>
        <v>350</v>
      </c>
      <c r="G13" s="14">
        <v>7</v>
      </c>
      <c r="H13" s="14">
        <v>125</v>
      </c>
      <c r="I13" s="15">
        <f t="shared" si="0"/>
        <v>1315</v>
      </c>
      <c r="J13" s="15">
        <f t="shared" si="1"/>
        <v>125</v>
      </c>
      <c r="K13" s="16" t="s">
        <v>72</v>
      </c>
      <c r="L13" s="16" t="s">
        <v>66</v>
      </c>
      <c r="M13" s="16" t="s">
        <v>54</v>
      </c>
      <c r="N13" s="17" t="s">
        <v>73</v>
      </c>
    </row>
    <row r="14" spans="1:14" s="18" customFormat="1" x14ac:dyDescent="0.3">
      <c r="A14" s="13">
        <v>46253</v>
      </c>
      <c r="B14" s="14">
        <v>420</v>
      </c>
      <c r="C14" s="14">
        <v>25</v>
      </c>
      <c r="D14" s="14">
        <v>300</v>
      </c>
      <c r="E14" s="14">
        <v>120</v>
      </c>
      <c r="F14" s="14">
        <f t="shared" si="2"/>
        <v>200</v>
      </c>
      <c r="G14" s="14">
        <v>4</v>
      </c>
      <c r="H14" s="14">
        <v>195</v>
      </c>
      <c r="I14" s="15">
        <f t="shared" si="0"/>
        <v>1260</v>
      </c>
      <c r="J14" s="15">
        <f t="shared" si="1"/>
        <v>180</v>
      </c>
      <c r="K14" s="16" t="s">
        <v>53</v>
      </c>
      <c r="L14" s="16" t="s">
        <v>53</v>
      </c>
      <c r="M14" s="16" t="s">
        <v>51</v>
      </c>
      <c r="N14" s="17" t="s">
        <v>71</v>
      </c>
    </row>
    <row r="15" spans="1:14" s="18" customFormat="1" ht="28.8" x14ac:dyDescent="0.3">
      <c r="A15" s="13">
        <v>46254</v>
      </c>
      <c r="B15" s="14">
        <v>420</v>
      </c>
      <c r="C15" s="14">
        <v>30</v>
      </c>
      <c r="D15" s="14">
        <v>180</v>
      </c>
      <c r="E15" s="14">
        <v>120</v>
      </c>
      <c r="F15" s="14">
        <f t="shared" si="2"/>
        <v>350</v>
      </c>
      <c r="G15" s="14">
        <v>7</v>
      </c>
      <c r="H15" s="14">
        <v>195</v>
      </c>
      <c r="I15" s="15">
        <f t="shared" si="0"/>
        <v>1295</v>
      </c>
      <c r="J15" s="15">
        <f t="shared" si="1"/>
        <v>145</v>
      </c>
      <c r="K15" s="16" t="s">
        <v>49</v>
      </c>
      <c r="L15" s="16" t="s">
        <v>50</v>
      </c>
      <c r="M15" s="16" t="s">
        <v>60</v>
      </c>
      <c r="N15" s="17" t="s">
        <v>70</v>
      </c>
    </row>
    <row r="16" spans="1:14" s="18" customFormat="1" x14ac:dyDescent="0.3">
      <c r="A16" s="13">
        <v>46255</v>
      </c>
      <c r="B16" s="14">
        <v>420</v>
      </c>
      <c r="C16" s="14">
        <v>30</v>
      </c>
      <c r="D16" s="14">
        <v>300</v>
      </c>
      <c r="E16" s="14">
        <v>120</v>
      </c>
      <c r="F16" s="14">
        <f t="shared" si="2"/>
        <v>300</v>
      </c>
      <c r="G16" s="14">
        <v>6</v>
      </c>
      <c r="H16" s="14">
        <v>135</v>
      </c>
      <c r="I16" s="15">
        <f t="shared" si="0"/>
        <v>1305</v>
      </c>
      <c r="J16" s="15">
        <f t="shared" si="1"/>
        <v>135</v>
      </c>
      <c r="K16" s="16" t="s">
        <v>57</v>
      </c>
      <c r="L16" s="16" t="s">
        <v>50</v>
      </c>
      <c r="M16" s="16" t="s">
        <v>60</v>
      </c>
      <c r="N16" s="17" t="s">
        <v>69</v>
      </c>
    </row>
    <row r="17" spans="1:14" s="18" customFormat="1" ht="28.8" x14ac:dyDescent="0.3">
      <c r="A17" s="13">
        <v>46256</v>
      </c>
      <c r="B17" s="14">
        <v>600</v>
      </c>
      <c r="C17" s="14">
        <v>45</v>
      </c>
      <c r="D17" s="14">
        <v>240</v>
      </c>
      <c r="E17" s="14">
        <v>180</v>
      </c>
      <c r="F17" s="14">
        <f t="shared" si="2"/>
        <v>0</v>
      </c>
      <c r="G17" s="14">
        <v>0</v>
      </c>
      <c r="H17" s="14">
        <v>240</v>
      </c>
      <c r="I17" s="15">
        <f t="shared" si="0"/>
        <v>1305</v>
      </c>
      <c r="J17" s="15">
        <f t="shared" si="1"/>
        <v>135</v>
      </c>
      <c r="K17" s="16" t="s">
        <v>57</v>
      </c>
      <c r="L17" s="16" t="s">
        <v>58</v>
      </c>
      <c r="M17" s="16" t="s">
        <v>60</v>
      </c>
      <c r="N17" s="17" t="s">
        <v>64</v>
      </c>
    </row>
    <row r="18" spans="1:14" s="18" customFormat="1" x14ac:dyDescent="0.3">
      <c r="A18" s="13">
        <v>46257</v>
      </c>
      <c r="B18" s="14">
        <v>600</v>
      </c>
      <c r="C18" s="14">
        <v>60</v>
      </c>
      <c r="D18" s="14">
        <v>180</v>
      </c>
      <c r="E18" s="14">
        <v>180</v>
      </c>
      <c r="F18" s="14">
        <f t="shared" si="2"/>
        <v>0</v>
      </c>
      <c r="G18" s="14">
        <v>0</v>
      </c>
      <c r="H18" s="14">
        <v>240</v>
      </c>
      <c r="I18" s="15">
        <f t="shared" si="0"/>
        <v>1260</v>
      </c>
      <c r="J18" s="15">
        <f t="shared" si="1"/>
        <v>180</v>
      </c>
      <c r="K18" s="16" t="s">
        <v>57</v>
      </c>
      <c r="L18" s="16" t="s">
        <v>58</v>
      </c>
      <c r="M18" s="16" t="s">
        <v>60</v>
      </c>
      <c r="N18" s="17" t="s">
        <v>63</v>
      </c>
    </row>
    <row r="19" spans="1:14" s="18" customFormat="1" x14ac:dyDescent="0.3">
      <c r="A19" s="13">
        <v>46258</v>
      </c>
      <c r="B19" s="14">
        <v>400</v>
      </c>
      <c r="C19" s="14">
        <v>30</v>
      </c>
      <c r="D19" s="14">
        <v>300</v>
      </c>
      <c r="E19" s="14">
        <v>120</v>
      </c>
      <c r="F19" s="14">
        <f t="shared" si="2"/>
        <v>150</v>
      </c>
      <c r="G19" s="14">
        <v>3</v>
      </c>
      <c r="H19" s="14">
        <v>195</v>
      </c>
      <c r="I19" s="15">
        <f t="shared" si="0"/>
        <v>1195</v>
      </c>
      <c r="J19" s="15">
        <f t="shared" si="1"/>
        <v>245</v>
      </c>
      <c r="K19" s="16" t="s">
        <v>49</v>
      </c>
      <c r="L19" s="16" t="s">
        <v>50</v>
      </c>
      <c r="M19" s="16" t="s">
        <v>51</v>
      </c>
      <c r="N19" s="17" t="s">
        <v>68</v>
      </c>
    </row>
    <row r="20" spans="1:14" s="18" customFormat="1" x14ac:dyDescent="0.3">
      <c r="A20" s="13">
        <v>46259</v>
      </c>
      <c r="B20" s="14">
        <v>400</v>
      </c>
      <c r="C20" s="14">
        <v>20</v>
      </c>
      <c r="D20" s="14">
        <v>300</v>
      </c>
      <c r="E20" s="14">
        <v>120</v>
      </c>
      <c r="F20" s="14">
        <f t="shared" si="2"/>
        <v>350</v>
      </c>
      <c r="G20" s="14">
        <v>7</v>
      </c>
      <c r="H20" s="14">
        <v>90</v>
      </c>
      <c r="I20" s="15">
        <f t="shared" si="0"/>
        <v>1280</v>
      </c>
      <c r="J20" s="15">
        <f t="shared" si="1"/>
        <v>160</v>
      </c>
      <c r="K20" s="16" t="s">
        <v>54</v>
      </c>
      <c r="L20" s="16" t="s">
        <v>66</v>
      </c>
      <c r="M20" s="16" t="s">
        <v>54</v>
      </c>
      <c r="N20" s="17" t="s">
        <v>67</v>
      </c>
    </row>
    <row r="21" spans="1:14" s="18" customFormat="1" ht="28.8" x14ac:dyDescent="0.3">
      <c r="A21" s="13">
        <v>46260</v>
      </c>
      <c r="B21" s="14">
        <v>420</v>
      </c>
      <c r="C21" s="14">
        <v>25</v>
      </c>
      <c r="D21" s="14">
        <v>300</v>
      </c>
      <c r="E21" s="14">
        <v>120</v>
      </c>
      <c r="F21" s="14">
        <f t="shared" si="2"/>
        <v>200</v>
      </c>
      <c r="G21" s="14">
        <v>4</v>
      </c>
      <c r="H21" s="14">
        <v>120</v>
      </c>
      <c r="I21" s="15">
        <f t="shared" si="0"/>
        <v>1185</v>
      </c>
      <c r="J21" s="15">
        <f t="shared" si="1"/>
        <v>255</v>
      </c>
      <c r="K21" s="16" t="s">
        <v>49</v>
      </c>
      <c r="L21" s="16" t="s">
        <v>50</v>
      </c>
      <c r="M21" s="16" t="s">
        <v>51</v>
      </c>
      <c r="N21" s="17" t="s">
        <v>65</v>
      </c>
    </row>
    <row r="22" spans="1:14" s="18" customFormat="1" ht="28.8" x14ac:dyDescent="0.3">
      <c r="A22" s="13">
        <v>46261</v>
      </c>
      <c r="B22" s="14">
        <v>460</v>
      </c>
      <c r="C22" s="14">
        <v>35</v>
      </c>
      <c r="D22" s="14">
        <v>180</v>
      </c>
      <c r="E22" s="14">
        <v>120</v>
      </c>
      <c r="F22" s="14">
        <f t="shared" si="2"/>
        <v>350</v>
      </c>
      <c r="G22" s="14">
        <v>7</v>
      </c>
      <c r="H22" s="14">
        <v>180</v>
      </c>
      <c r="I22" s="15">
        <f t="shared" si="0"/>
        <v>1325</v>
      </c>
      <c r="J22" s="15">
        <f t="shared" si="1"/>
        <v>115</v>
      </c>
      <c r="K22" s="16" t="s">
        <v>49</v>
      </c>
      <c r="L22" s="16" t="s">
        <v>50</v>
      </c>
      <c r="M22" s="16" t="s">
        <v>60</v>
      </c>
      <c r="N22" s="17" t="s">
        <v>76</v>
      </c>
    </row>
    <row r="23" spans="1:14" s="18" customFormat="1" x14ac:dyDescent="0.3">
      <c r="A23" s="13">
        <v>46262</v>
      </c>
      <c r="B23" s="14">
        <v>400</v>
      </c>
      <c r="C23" s="14">
        <v>40</v>
      </c>
      <c r="D23" s="14">
        <v>240</v>
      </c>
      <c r="E23" s="14">
        <v>120</v>
      </c>
      <c r="F23" s="14">
        <f t="shared" si="2"/>
        <v>300</v>
      </c>
      <c r="G23" s="14">
        <v>6</v>
      </c>
      <c r="H23" s="14">
        <v>120</v>
      </c>
      <c r="I23" s="15">
        <f t="shared" si="0"/>
        <v>1220</v>
      </c>
      <c r="J23" s="15">
        <f t="shared" si="1"/>
        <v>220</v>
      </c>
      <c r="K23" s="16" t="s">
        <v>49</v>
      </c>
      <c r="L23" s="16" t="s">
        <v>58</v>
      </c>
      <c r="M23" s="16" t="s">
        <v>51</v>
      </c>
      <c r="N23" s="17" t="s">
        <v>77</v>
      </c>
    </row>
    <row r="24" spans="1:14" s="18" customFormat="1" x14ac:dyDescent="0.3">
      <c r="A24" s="13">
        <v>46263</v>
      </c>
      <c r="B24" s="14">
        <v>600</v>
      </c>
      <c r="C24" s="14">
        <v>60</v>
      </c>
      <c r="D24" s="14">
        <v>180</v>
      </c>
      <c r="E24" s="14">
        <v>120</v>
      </c>
      <c r="F24" s="14">
        <f t="shared" si="2"/>
        <v>0</v>
      </c>
      <c r="G24" s="14">
        <v>0</v>
      </c>
      <c r="H24" s="14">
        <v>240</v>
      </c>
      <c r="I24" s="15">
        <f t="shared" si="0"/>
        <v>1200</v>
      </c>
      <c r="J24" s="15">
        <f t="shared" si="1"/>
        <v>240</v>
      </c>
      <c r="K24" s="16" t="s">
        <v>57</v>
      </c>
      <c r="L24" s="16" t="s">
        <v>50</v>
      </c>
      <c r="M24" s="16" t="s">
        <v>51</v>
      </c>
      <c r="N24" s="17" t="s">
        <v>78</v>
      </c>
    </row>
    <row r="25" spans="1:14" s="18" customFormat="1" ht="28.8" x14ac:dyDescent="0.3">
      <c r="A25" s="13">
        <v>46264</v>
      </c>
      <c r="B25" s="14">
        <v>600</v>
      </c>
      <c r="C25" s="14">
        <v>45</v>
      </c>
      <c r="D25" s="14">
        <v>240</v>
      </c>
      <c r="E25" s="14">
        <v>120</v>
      </c>
      <c r="F25" s="14">
        <f t="shared" si="2"/>
        <v>0</v>
      </c>
      <c r="G25" s="14">
        <v>0</v>
      </c>
      <c r="H25" s="14">
        <v>300</v>
      </c>
      <c r="I25" s="15">
        <f t="shared" si="0"/>
        <v>1305</v>
      </c>
      <c r="J25" s="15">
        <f t="shared" si="1"/>
        <v>135</v>
      </c>
      <c r="K25" s="16" t="s">
        <v>53</v>
      </c>
      <c r="L25" s="16" t="s">
        <v>53</v>
      </c>
      <c r="M25" s="16" t="s">
        <v>60</v>
      </c>
      <c r="N25" s="17" t="s">
        <v>79</v>
      </c>
    </row>
    <row r="26" spans="1:14" s="18" customFormat="1" x14ac:dyDescent="0.3">
      <c r="A26" s="13">
        <v>46265</v>
      </c>
      <c r="B26" s="14">
        <v>420</v>
      </c>
      <c r="C26" s="14">
        <v>20</v>
      </c>
      <c r="D26" s="14">
        <v>180</v>
      </c>
      <c r="E26" s="14">
        <v>120</v>
      </c>
      <c r="F26" s="14">
        <f t="shared" si="2"/>
        <v>150</v>
      </c>
      <c r="G26" s="14">
        <v>3</v>
      </c>
      <c r="H26" s="14">
        <v>120</v>
      </c>
      <c r="I26" s="15">
        <f t="shared" si="0"/>
        <v>1010</v>
      </c>
      <c r="J26" s="15">
        <f t="shared" si="1"/>
        <v>430</v>
      </c>
      <c r="K26" s="16"/>
      <c r="L26" s="16"/>
      <c r="M26" s="16"/>
      <c r="N26" s="17"/>
    </row>
    <row r="27" spans="1:14" s="18" customFormat="1" ht="43.2" x14ac:dyDescent="0.3">
      <c r="A27" s="13">
        <v>46266</v>
      </c>
      <c r="B27" s="14">
        <v>420</v>
      </c>
      <c r="C27" s="14">
        <v>25</v>
      </c>
      <c r="D27" s="14">
        <v>300</v>
      </c>
      <c r="E27" s="14">
        <v>120</v>
      </c>
      <c r="F27" s="14">
        <f t="shared" si="2"/>
        <v>350</v>
      </c>
      <c r="G27" s="14">
        <v>7</v>
      </c>
      <c r="H27" s="14">
        <v>60</v>
      </c>
      <c r="I27" s="15">
        <f t="shared" si="0"/>
        <v>1275</v>
      </c>
      <c r="J27" s="15">
        <f t="shared" si="1"/>
        <v>165</v>
      </c>
      <c r="K27" s="16" t="s">
        <v>49</v>
      </c>
      <c r="L27" s="16" t="s">
        <v>50</v>
      </c>
      <c r="M27" s="16" t="s">
        <v>51</v>
      </c>
      <c r="N27" s="17" t="s">
        <v>100</v>
      </c>
    </row>
    <row r="28" spans="1:14" s="18" customFormat="1" ht="28.8" x14ac:dyDescent="0.3">
      <c r="A28" s="13">
        <v>46267</v>
      </c>
      <c r="B28" s="14">
        <v>420</v>
      </c>
      <c r="C28" s="14">
        <v>30</v>
      </c>
      <c r="D28" s="14">
        <v>315</v>
      </c>
      <c r="E28" s="14">
        <v>120</v>
      </c>
      <c r="F28" s="14">
        <f t="shared" si="2"/>
        <v>200</v>
      </c>
      <c r="G28" s="14">
        <v>4</v>
      </c>
      <c r="H28" s="14">
        <v>180</v>
      </c>
      <c r="I28" s="15">
        <f t="shared" si="0"/>
        <v>1265</v>
      </c>
      <c r="J28" s="15">
        <f t="shared" si="1"/>
        <v>175</v>
      </c>
      <c r="K28" s="16" t="s">
        <v>49</v>
      </c>
      <c r="L28" s="16" t="s">
        <v>50</v>
      </c>
      <c r="M28" s="16" t="s">
        <v>60</v>
      </c>
      <c r="N28" s="17" t="s">
        <v>80</v>
      </c>
    </row>
    <row r="29" spans="1:14" s="18" customFormat="1" ht="28.8" x14ac:dyDescent="0.3">
      <c r="A29" s="13">
        <v>46268</v>
      </c>
      <c r="B29" s="14">
        <v>400</v>
      </c>
      <c r="C29" s="14">
        <v>30</v>
      </c>
      <c r="D29" s="14">
        <v>300</v>
      </c>
      <c r="E29" s="14">
        <v>135</v>
      </c>
      <c r="F29" s="14">
        <f t="shared" si="2"/>
        <v>350</v>
      </c>
      <c r="G29" s="14">
        <v>7</v>
      </c>
      <c r="H29" s="14">
        <v>140</v>
      </c>
      <c r="I29" s="15">
        <f t="shared" si="0"/>
        <v>1355</v>
      </c>
      <c r="J29" s="15">
        <f t="shared" si="1"/>
        <v>85</v>
      </c>
      <c r="K29" s="16" t="s">
        <v>53</v>
      </c>
      <c r="L29" s="16" t="s">
        <v>50</v>
      </c>
      <c r="M29" s="16" t="s">
        <v>51</v>
      </c>
      <c r="N29" s="17" t="s">
        <v>81</v>
      </c>
    </row>
    <row r="30" spans="1:14" s="18" customFormat="1" ht="28.8" x14ac:dyDescent="0.3">
      <c r="A30" s="13">
        <v>46269</v>
      </c>
      <c r="B30" s="14">
        <v>420</v>
      </c>
      <c r="C30" s="14">
        <v>30</v>
      </c>
      <c r="D30" s="14">
        <v>360</v>
      </c>
      <c r="E30" s="14">
        <v>120</v>
      </c>
      <c r="F30" s="14">
        <f t="shared" si="2"/>
        <v>300</v>
      </c>
      <c r="G30" s="14">
        <v>6</v>
      </c>
      <c r="H30" s="14">
        <v>120</v>
      </c>
      <c r="I30" s="15">
        <f t="shared" si="0"/>
        <v>1350</v>
      </c>
      <c r="J30" s="15">
        <f t="shared" si="1"/>
        <v>90</v>
      </c>
      <c r="K30" s="16" t="s">
        <v>49</v>
      </c>
      <c r="L30" s="16" t="s">
        <v>58</v>
      </c>
      <c r="M30" s="16" t="s">
        <v>60</v>
      </c>
      <c r="N30" s="17" t="s">
        <v>101</v>
      </c>
    </row>
    <row r="31" spans="1:14" s="18" customFormat="1" ht="43.2" x14ac:dyDescent="0.3">
      <c r="A31" s="13">
        <v>46270</v>
      </c>
      <c r="B31" s="14">
        <v>600</v>
      </c>
      <c r="C31" s="14">
        <v>20</v>
      </c>
      <c r="D31" s="14">
        <v>420</v>
      </c>
      <c r="E31" s="14">
        <v>180</v>
      </c>
      <c r="F31" s="14">
        <f t="shared" si="2"/>
        <v>0</v>
      </c>
      <c r="G31" s="14">
        <v>0</v>
      </c>
      <c r="H31" s="14">
        <v>120</v>
      </c>
      <c r="I31" s="15">
        <f t="shared" si="0"/>
        <v>1340</v>
      </c>
      <c r="J31" s="15">
        <f t="shared" si="1"/>
        <v>100</v>
      </c>
      <c r="K31" s="16" t="s">
        <v>57</v>
      </c>
      <c r="L31" s="16" t="s">
        <v>58</v>
      </c>
      <c r="M31" s="16" t="s">
        <v>60</v>
      </c>
      <c r="N31" s="17" t="s">
        <v>82</v>
      </c>
    </row>
    <row r="32" spans="1:14" s="18" customFormat="1" ht="43.2" x14ac:dyDescent="0.3">
      <c r="A32" s="13">
        <v>46271</v>
      </c>
      <c r="B32" s="14">
        <v>600</v>
      </c>
      <c r="C32" s="14">
        <v>20</v>
      </c>
      <c r="D32" s="14">
        <v>360</v>
      </c>
      <c r="E32" s="14">
        <v>180</v>
      </c>
      <c r="F32" s="14">
        <f t="shared" si="2"/>
        <v>0</v>
      </c>
      <c r="G32" s="14">
        <v>0</v>
      </c>
      <c r="H32" s="14">
        <v>180</v>
      </c>
      <c r="I32" s="15">
        <f t="shared" si="0"/>
        <v>1340</v>
      </c>
      <c r="J32" s="15">
        <f t="shared" si="1"/>
        <v>100</v>
      </c>
      <c r="K32" s="16" t="s">
        <v>57</v>
      </c>
      <c r="L32" s="16" t="s">
        <v>58</v>
      </c>
      <c r="M32" s="16" t="s">
        <v>51</v>
      </c>
      <c r="N32" s="17" t="s">
        <v>83</v>
      </c>
    </row>
    <row r="33" spans="1:14" s="18" customFormat="1" ht="43.2" x14ac:dyDescent="0.3">
      <c r="A33" s="13">
        <v>46272</v>
      </c>
      <c r="B33" s="14">
        <v>420</v>
      </c>
      <c r="C33" s="14">
        <v>25</v>
      </c>
      <c r="D33" s="14">
        <v>300</v>
      </c>
      <c r="E33" s="14">
        <v>120</v>
      </c>
      <c r="F33" s="14">
        <f t="shared" si="2"/>
        <v>150</v>
      </c>
      <c r="G33" s="14">
        <v>3</v>
      </c>
      <c r="H33" s="14">
        <v>120</v>
      </c>
      <c r="I33" s="15">
        <f t="shared" si="0"/>
        <v>1135</v>
      </c>
      <c r="J33" s="15">
        <f t="shared" si="1"/>
        <v>305</v>
      </c>
      <c r="K33" s="16" t="s">
        <v>49</v>
      </c>
      <c r="L33" s="16" t="s">
        <v>50</v>
      </c>
      <c r="M33" s="16" t="s">
        <v>51</v>
      </c>
      <c r="N33" s="17" t="s">
        <v>84</v>
      </c>
    </row>
    <row r="34" spans="1:14" s="18" customFormat="1" ht="43.2" x14ac:dyDescent="0.3">
      <c r="A34" s="13">
        <v>46273</v>
      </c>
      <c r="B34" s="14">
        <v>420</v>
      </c>
      <c r="C34" s="14">
        <v>30</v>
      </c>
      <c r="D34" s="14">
        <v>300</v>
      </c>
      <c r="E34" s="14">
        <v>135</v>
      </c>
      <c r="F34" s="14">
        <f t="shared" si="2"/>
        <v>350</v>
      </c>
      <c r="G34" s="14">
        <v>7</v>
      </c>
      <c r="H34" s="14">
        <v>90</v>
      </c>
      <c r="I34" s="15">
        <f t="shared" si="0"/>
        <v>1325</v>
      </c>
      <c r="J34" s="15">
        <f t="shared" si="1"/>
        <v>115</v>
      </c>
      <c r="K34" s="16" t="s">
        <v>53</v>
      </c>
      <c r="L34" s="16" t="s">
        <v>53</v>
      </c>
      <c r="M34" s="16" t="s">
        <v>54</v>
      </c>
      <c r="N34" s="17" t="s">
        <v>85</v>
      </c>
    </row>
    <row r="35" spans="1:14" s="18" customFormat="1" ht="28.8" x14ac:dyDescent="0.3">
      <c r="A35" s="13">
        <v>46274</v>
      </c>
      <c r="B35" s="14">
        <v>420</v>
      </c>
      <c r="C35" s="14">
        <v>45</v>
      </c>
      <c r="D35" s="14">
        <v>360</v>
      </c>
      <c r="E35" s="14">
        <v>120</v>
      </c>
      <c r="F35" s="14">
        <f t="shared" si="2"/>
        <v>200</v>
      </c>
      <c r="G35" s="14">
        <v>4</v>
      </c>
      <c r="H35" s="14">
        <v>120</v>
      </c>
      <c r="I35" s="15">
        <f t="shared" si="0"/>
        <v>1265</v>
      </c>
      <c r="J35" s="15">
        <f t="shared" si="1"/>
        <v>175</v>
      </c>
      <c r="K35" s="16" t="s">
        <v>49</v>
      </c>
      <c r="L35" s="16" t="s">
        <v>50</v>
      </c>
      <c r="M35" s="16" t="s">
        <v>51</v>
      </c>
      <c r="N35" s="17" t="s">
        <v>86</v>
      </c>
    </row>
    <row r="36" spans="1:14" s="18" customFormat="1" ht="43.2" x14ac:dyDescent="0.3">
      <c r="A36" s="13">
        <v>46275</v>
      </c>
      <c r="B36" s="14">
        <v>420</v>
      </c>
      <c r="C36" s="14">
        <v>60</v>
      </c>
      <c r="D36" s="14">
        <v>300</v>
      </c>
      <c r="E36" s="14">
        <v>45</v>
      </c>
      <c r="F36" s="14">
        <f t="shared" si="2"/>
        <v>350</v>
      </c>
      <c r="G36" s="14">
        <v>7</v>
      </c>
      <c r="H36" s="14">
        <v>120</v>
      </c>
      <c r="I36" s="15">
        <f t="shared" si="0"/>
        <v>1295</v>
      </c>
      <c r="J36" s="15">
        <f t="shared" si="1"/>
        <v>145</v>
      </c>
      <c r="K36" s="16" t="s">
        <v>49</v>
      </c>
      <c r="L36" s="16" t="s">
        <v>50</v>
      </c>
      <c r="M36" s="16" t="s">
        <v>60</v>
      </c>
      <c r="N36" s="17" t="s">
        <v>87</v>
      </c>
    </row>
    <row r="37" spans="1:14" s="18" customFormat="1" ht="28.8" x14ac:dyDescent="0.3">
      <c r="A37" s="13">
        <v>46276</v>
      </c>
      <c r="B37" s="14">
        <v>435</v>
      </c>
      <c r="C37" s="14">
        <v>45</v>
      </c>
      <c r="D37" s="14">
        <v>315</v>
      </c>
      <c r="E37" s="14">
        <v>150</v>
      </c>
      <c r="F37" s="14">
        <f t="shared" si="2"/>
        <v>300</v>
      </c>
      <c r="G37" s="14">
        <v>6</v>
      </c>
      <c r="H37" s="14">
        <v>90</v>
      </c>
      <c r="I37" s="15">
        <f t="shared" si="0"/>
        <v>1335</v>
      </c>
      <c r="J37" s="15">
        <f t="shared" si="1"/>
        <v>105</v>
      </c>
      <c r="K37" s="16" t="s">
        <v>49</v>
      </c>
      <c r="L37" s="16" t="s">
        <v>50</v>
      </c>
      <c r="M37" s="16" t="s">
        <v>60</v>
      </c>
      <c r="N37" s="17" t="s">
        <v>88</v>
      </c>
    </row>
    <row r="38" spans="1:14" s="18" customFormat="1" ht="43.2" x14ac:dyDescent="0.3">
      <c r="A38" s="13">
        <v>46277</v>
      </c>
      <c r="B38" s="14">
        <v>600</v>
      </c>
      <c r="C38" s="14">
        <v>30</v>
      </c>
      <c r="D38" s="14">
        <v>420</v>
      </c>
      <c r="E38" s="14">
        <v>180</v>
      </c>
      <c r="F38" s="14">
        <f t="shared" si="2"/>
        <v>0</v>
      </c>
      <c r="G38" s="14">
        <v>0</v>
      </c>
      <c r="H38" s="14">
        <v>120</v>
      </c>
      <c r="I38" s="15">
        <f t="shared" si="0"/>
        <v>1350</v>
      </c>
      <c r="J38" s="15">
        <f t="shared" si="1"/>
        <v>90</v>
      </c>
      <c r="K38" s="16" t="s">
        <v>57</v>
      </c>
      <c r="L38" s="16" t="s">
        <v>58</v>
      </c>
      <c r="M38" s="16" t="s">
        <v>60</v>
      </c>
      <c r="N38" s="17" t="s">
        <v>89</v>
      </c>
    </row>
    <row r="39" spans="1:14" s="18" customFormat="1" ht="43.2" x14ac:dyDescent="0.3">
      <c r="A39" s="13">
        <v>46278</v>
      </c>
      <c r="B39" s="14">
        <v>600</v>
      </c>
      <c r="C39" s="14">
        <v>30</v>
      </c>
      <c r="D39" s="14">
        <v>360</v>
      </c>
      <c r="E39" s="14">
        <v>180</v>
      </c>
      <c r="F39" s="14">
        <f t="shared" si="2"/>
        <v>0</v>
      </c>
      <c r="G39" s="14">
        <v>0</v>
      </c>
      <c r="H39" s="14">
        <v>180</v>
      </c>
      <c r="I39" s="15">
        <f t="shared" si="0"/>
        <v>1350</v>
      </c>
      <c r="J39" s="15">
        <f t="shared" si="1"/>
        <v>90</v>
      </c>
      <c r="K39" s="16" t="s">
        <v>57</v>
      </c>
      <c r="L39" s="16" t="s">
        <v>50</v>
      </c>
      <c r="M39" s="16" t="s">
        <v>51</v>
      </c>
      <c r="N39" s="17" t="s">
        <v>90</v>
      </c>
    </row>
    <row r="40" spans="1:14" s="18" customFormat="1" ht="43.2" x14ac:dyDescent="0.3">
      <c r="A40" s="13">
        <v>46279</v>
      </c>
      <c r="B40" s="14">
        <v>420</v>
      </c>
      <c r="C40" s="14">
        <v>45</v>
      </c>
      <c r="D40" s="14">
        <v>300</v>
      </c>
      <c r="E40" s="14">
        <v>120</v>
      </c>
      <c r="F40" s="14">
        <f t="shared" si="2"/>
        <v>150</v>
      </c>
      <c r="G40" s="14">
        <v>3</v>
      </c>
      <c r="H40" s="14">
        <v>90</v>
      </c>
      <c r="I40" s="15">
        <f t="shared" si="0"/>
        <v>1125</v>
      </c>
      <c r="J40" s="15">
        <f t="shared" si="1"/>
        <v>315</v>
      </c>
      <c r="K40" s="16" t="s">
        <v>49</v>
      </c>
      <c r="L40" s="16" t="s">
        <v>50</v>
      </c>
      <c r="M40" s="16" t="s">
        <v>51</v>
      </c>
      <c r="N40" s="17" t="s">
        <v>91</v>
      </c>
    </row>
    <row r="41" spans="1:14" s="18" customFormat="1" ht="43.2" x14ac:dyDescent="0.3">
      <c r="A41" s="13">
        <v>46280</v>
      </c>
      <c r="B41" s="14">
        <v>400</v>
      </c>
      <c r="C41" s="14">
        <v>60</v>
      </c>
      <c r="D41" s="14">
        <v>300</v>
      </c>
      <c r="E41" s="14">
        <v>120</v>
      </c>
      <c r="F41" s="14">
        <f t="shared" si="2"/>
        <v>350</v>
      </c>
      <c r="G41" s="14">
        <v>7</v>
      </c>
      <c r="H41" s="14">
        <v>90</v>
      </c>
      <c r="I41" s="15">
        <f t="shared" si="0"/>
        <v>1320</v>
      </c>
      <c r="J41" s="15">
        <f t="shared" si="1"/>
        <v>120</v>
      </c>
      <c r="K41" s="16" t="s">
        <v>54</v>
      </c>
      <c r="L41" s="16" t="s">
        <v>66</v>
      </c>
      <c r="M41" s="16" t="s">
        <v>54</v>
      </c>
      <c r="N41" s="17" t="s">
        <v>92</v>
      </c>
    </row>
    <row r="42" spans="1:14" s="18" customFormat="1" ht="28.8" x14ac:dyDescent="0.3">
      <c r="A42" s="13">
        <v>46281</v>
      </c>
      <c r="B42" s="14">
        <v>420</v>
      </c>
      <c r="C42" s="14">
        <v>20</v>
      </c>
      <c r="D42" s="14">
        <v>360</v>
      </c>
      <c r="E42" s="14">
        <v>135</v>
      </c>
      <c r="F42" s="14">
        <f t="shared" si="2"/>
        <v>200</v>
      </c>
      <c r="G42" s="14">
        <v>4</v>
      </c>
      <c r="H42" s="14">
        <v>120</v>
      </c>
      <c r="I42" s="15">
        <f t="shared" si="0"/>
        <v>1255</v>
      </c>
      <c r="J42" s="15">
        <f t="shared" si="1"/>
        <v>185</v>
      </c>
      <c r="K42" s="16" t="s">
        <v>49</v>
      </c>
      <c r="L42" s="16" t="s">
        <v>50</v>
      </c>
      <c r="M42" s="16" t="s">
        <v>51</v>
      </c>
      <c r="N42" s="17" t="s">
        <v>93</v>
      </c>
    </row>
    <row r="43" spans="1:14" s="18" customFormat="1" ht="43.2" x14ac:dyDescent="0.3">
      <c r="A43" s="13">
        <v>46282</v>
      </c>
      <c r="B43" s="14">
        <v>420</v>
      </c>
      <c r="C43" s="14">
        <v>25</v>
      </c>
      <c r="D43" s="14">
        <v>335</v>
      </c>
      <c r="E43" s="14">
        <v>90</v>
      </c>
      <c r="F43" s="14">
        <f t="shared" si="2"/>
        <v>350</v>
      </c>
      <c r="G43" s="14">
        <v>7</v>
      </c>
      <c r="H43" s="14">
        <v>150</v>
      </c>
      <c r="I43" s="15">
        <f t="shared" si="0"/>
        <v>1370</v>
      </c>
      <c r="J43" s="15">
        <f t="shared" si="1"/>
        <v>70</v>
      </c>
      <c r="K43" s="16" t="s">
        <v>49</v>
      </c>
      <c r="L43" s="16" t="s">
        <v>58</v>
      </c>
      <c r="M43" s="16" t="s">
        <v>60</v>
      </c>
      <c r="N43" s="17" t="s">
        <v>102</v>
      </c>
    </row>
    <row r="44" spans="1:14" s="18" customFormat="1" ht="28.8" x14ac:dyDescent="0.3">
      <c r="A44" s="13">
        <v>46283</v>
      </c>
      <c r="B44" s="14">
        <v>435</v>
      </c>
      <c r="C44" s="14">
        <v>30</v>
      </c>
      <c r="D44" s="14">
        <v>300</v>
      </c>
      <c r="E44" s="14">
        <v>120</v>
      </c>
      <c r="F44" s="14">
        <f t="shared" si="2"/>
        <v>300</v>
      </c>
      <c r="G44" s="14">
        <v>6</v>
      </c>
      <c r="H44" s="14">
        <v>120</v>
      </c>
      <c r="I44" s="15">
        <f t="shared" si="0"/>
        <v>1305</v>
      </c>
      <c r="J44" s="15">
        <f t="shared" si="1"/>
        <v>135</v>
      </c>
      <c r="K44" s="16" t="s">
        <v>49</v>
      </c>
      <c r="L44" s="16" t="s">
        <v>50</v>
      </c>
      <c r="M44" s="16" t="s">
        <v>60</v>
      </c>
      <c r="N44" s="17" t="s">
        <v>94</v>
      </c>
    </row>
    <row r="45" spans="1:14" s="18" customFormat="1" ht="43.2" x14ac:dyDescent="0.3">
      <c r="A45" s="13">
        <v>46284</v>
      </c>
      <c r="B45" s="14">
        <v>600</v>
      </c>
      <c r="C45" s="14">
        <v>45</v>
      </c>
      <c r="D45" s="14">
        <v>420</v>
      </c>
      <c r="E45" s="14">
        <v>180</v>
      </c>
      <c r="F45" s="14">
        <f t="shared" si="2"/>
        <v>0</v>
      </c>
      <c r="G45" s="14">
        <v>0</v>
      </c>
      <c r="H45" s="14">
        <v>180</v>
      </c>
      <c r="I45" s="15">
        <f t="shared" si="0"/>
        <v>1425</v>
      </c>
      <c r="J45" s="15">
        <f t="shared" si="1"/>
        <v>15</v>
      </c>
      <c r="K45" s="16" t="s">
        <v>57</v>
      </c>
      <c r="L45" s="16" t="s">
        <v>58</v>
      </c>
      <c r="M45" s="16" t="s">
        <v>60</v>
      </c>
      <c r="N45" s="17" t="s">
        <v>95</v>
      </c>
    </row>
    <row r="46" spans="1:14" s="18" customFormat="1" ht="43.2" x14ac:dyDescent="0.3">
      <c r="A46" s="13">
        <v>46285</v>
      </c>
      <c r="B46" s="14">
        <v>600</v>
      </c>
      <c r="C46" s="14">
        <v>20</v>
      </c>
      <c r="D46" s="14">
        <v>375</v>
      </c>
      <c r="E46" s="14">
        <v>120</v>
      </c>
      <c r="F46" s="14">
        <f t="shared" si="2"/>
        <v>0</v>
      </c>
      <c r="G46" s="14">
        <v>0</v>
      </c>
      <c r="H46" s="14">
        <v>120</v>
      </c>
      <c r="I46" s="15">
        <f t="shared" si="0"/>
        <v>1235</v>
      </c>
      <c r="J46" s="15">
        <f t="shared" si="1"/>
        <v>205</v>
      </c>
      <c r="K46" s="16" t="s">
        <v>57</v>
      </c>
      <c r="L46" s="16" t="s">
        <v>58</v>
      </c>
      <c r="M46" s="16" t="s">
        <v>51</v>
      </c>
      <c r="N46" s="17" t="s">
        <v>90</v>
      </c>
    </row>
    <row r="47" spans="1:14" s="18" customFormat="1" ht="28.8" x14ac:dyDescent="0.3">
      <c r="A47" s="13">
        <v>46286</v>
      </c>
      <c r="B47" s="14">
        <v>420</v>
      </c>
      <c r="C47" s="14">
        <v>25</v>
      </c>
      <c r="D47" s="14">
        <v>300</v>
      </c>
      <c r="E47" s="14">
        <v>120</v>
      </c>
      <c r="F47" s="14">
        <f t="shared" si="2"/>
        <v>150</v>
      </c>
      <c r="G47" s="14">
        <v>3</v>
      </c>
      <c r="H47" s="14">
        <v>135</v>
      </c>
      <c r="I47" s="15">
        <f t="shared" si="0"/>
        <v>1150</v>
      </c>
      <c r="J47" s="15">
        <f t="shared" si="1"/>
        <v>290</v>
      </c>
      <c r="K47" s="16" t="s">
        <v>49</v>
      </c>
      <c r="L47" s="16" t="s">
        <v>50</v>
      </c>
      <c r="M47" s="16" t="s">
        <v>51</v>
      </c>
      <c r="N47" s="17" t="s">
        <v>96</v>
      </c>
    </row>
    <row r="48" spans="1:14" s="18" customFormat="1" ht="43.2" x14ac:dyDescent="0.3">
      <c r="A48" s="13">
        <v>46287</v>
      </c>
      <c r="B48" s="14">
        <v>420</v>
      </c>
      <c r="C48" s="14">
        <v>60</v>
      </c>
      <c r="D48" s="14">
        <v>360</v>
      </c>
      <c r="E48" s="14">
        <v>135</v>
      </c>
      <c r="F48" s="14">
        <f t="shared" si="2"/>
        <v>350</v>
      </c>
      <c r="G48" s="14">
        <v>7</v>
      </c>
      <c r="H48" s="14">
        <v>75</v>
      </c>
      <c r="I48" s="15">
        <f t="shared" si="0"/>
        <v>1400</v>
      </c>
      <c r="J48" s="15">
        <f t="shared" si="1"/>
        <v>40</v>
      </c>
      <c r="K48" s="16" t="s">
        <v>53</v>
      </c>
      <c r="L48" s="16" t="s">
        <v>53</v>
      </c>
      <c r="M48" s="16" t="s">
        <v>54</v>
      </c>
      <c r="N48" s="17" t="s">
        <v>97</v>
      </c>
    </row>
    <row r="49" spans="1:14" s="18" customFormat="1" ht="43.2" x14ac:dyDescent="0.3">
      <c r="A49" s="13">
        <v>46288</v>
      </c>
      <c r="B49" s="14">
        <v>420</v>
      </c>
      <c r="C49" s="14">
        <v>30</v>
      </c>
      <c r="D49" s="14">
        <v>375</v>
      </c>
      <c r="E49" s="14">
        <v>150</v>
      </c>
      <c r="F49" s="14">
        <f t="shared" si="2"/>
        <v>200</v>
      </c>
      <c r="G49" s="14">
        <v>4</v>
      </c>
      <c r="H49" s="14">
        <v>135</v>
      </c>
      <c r="I49" s="15">
        <f t="shared" si="0"/>
        <v>1310</v>
      </c>
      <c r="J49" s="15">
        <f t="shared" si="1"/>
        <v>130</v>
      </c>
      <c r="K49" s="16" t="s">
        <v>49</v>
      </c>
      <c r="L49" s="16" t="s">
        <v>58</v>
      </c>
      <c r="M49" s="16" t="s">
        <v>60</v>
      </c>
      <c r="N49" s="17" t="s">
        <v>98</v>
      </c>
    </row>
    <row r="50" spans="1:14" s="18" customFormat="1" ht="43.2" x14ac:dyDescent="0.3">
      <c r="A50" s="13">
        <v>46289</v>
      </c>
      <c r="B50" s="14">
        <v>400</v>
      </c>
      <c r="C50" s="14">
        <v>40</v>
      </c>
      <c r="D50" s="14">
        <v>360</v>
      </c>
      <c r="E50" s="14">
        <v>120</v>
      </c>
      <c r="F50" s="14">
        <f t="shared" si="2"/>
        <v>350</v>
      </c>
      <c r="G50" s="14">
        <v>7</v>
      </c>
      <c r="H50" s="14">
        <v>60</v>
      </c>
      <c r="I50" s="15">
        <f t="shared" si="0"/>
        <v>1330</v>
      </c>
      <c r="J50" s="15">
        <f t="shared" si="1"/>
        <v>110</v>
      </c>
      <c r="K50" s="16" t="s">
        <v>49</v>
      </c>
      <c r="L50" s="16" t="s">
        <v>50</v>
      </c>
      <c r="M50" s="16" t="s">
        <v>51</v>
      </c>
      <c r="N50" s="17" t="s">
        <v>99</v>
      </c>
    </row>
    <row r="51" spans="1:14" s="18" customFormat="1" ht="43.2" x14ac:dyDescent="0.3">
      <c r="A51" s="13">
        <v>46290</v>
      </c>
      <c r="B51" s="14">
        <v>420</v>
      </c>
      <c r="C51" s="14">
        <v>30</v>
      </c>
      <c r="D51" s="14">
        <v>360</v>
      </c>
      <c r="E51" s="14">
        <v>120</v>
      </c>
      <c r="F51" s="14">
        <f t="shared" si="2"/>
        <v>300</v>
      </c>
      <c r="G51" s="14">
        <v>6</v>
      </c>
      <c r="H51" s="14">
        <v>60</v>
      </c>
      <c r="I51" s="15">
        <f t="shared" si="0"/>
        <v>1290</v>
      </c>
      <c r="J51" s="15">
        <f t="shared" si="1"/>
        <v>150</v>
      </c>
      <c r="K51" s="16" t="s">
        <v>57</v>
      </c>
      <c r="L51" s="16" t="s">
        <v>58</v>
      </c>
      <c r="M51" s="16" t="s">
        <v>60</v>
      </c>
      <c r="N51" s="17" t="s">
        <v>103</v>
      </c>
    </row>
    <row r="52" spans="1:14" x14ac:dyDescent="0.3">
      <c r="A52" s="8"/>
      <c r="B52" s="9"/>
      <c r="C52" s="9"/>
      <c r="D52" s="9"/>
      <c r="E52" s="9"/>
      <c r="F52" s="9"/>
      <c r="G52" s="9"/>
      <c r="H52" s="9"/>
      <c r="I52" s="10" t="str">
        <f t="shared" si="0"/>
        <v/>
      </c>
      <c r="J52" s="10" t="str">
        <f t="shared" si="1"/>
        <v/>
      </c>
      <c r="K52" s="11"/>
      <c r="L52" s="11"/>
      <c r="M52" s="11"/>
      <c r="N52" s="12"/>
    </row>
    <row r="53" spans="1:14" x14ac:dyDescent="0.3">
      <c r="A53" s="8"/>
      <c r="B53" s="9"/>
      <c r="C53" s="9"/>
      <c r="D53" s="9"/>
      <c r="E53" s="9"/>
      <c r="F53" s="9"/>
      <c r="G53" s="9"/>
      <c r="H53" s="9"/>
      <c r="I53" s="10" t="str">
        <f t="shared" si="0"/>
        <v/>
      </c>
      <c r="J53" s="10" t="str">
        <f t="shared" si="1"/>
        <v/>
      </c>
      <c r="K53" s="11"/>
      <c r="L53" s="11"/>
      <c r="M53" s="11"/>
      <c r="N53" s="12"/>
    </row>
    <row r="54" spans="1:14" x14ac:dyDescent="0.3">
      <c r="A54" s="8"/>
      <c r="B54" s="9"/>
      <c r="C54" s="9"/>
      <c r="D54" s="9"/>
      <c r="E54" s="9"/>
      <c r="F54" s="9"/>
      <c r="G54" s="9"/>
      <c r="H54" s="9"/>
      <c r="I54" s="10" t="str">
        <f t="shared" si="0"/>
        <v/>
      </c>
      <c r="J54" s="10" t="str">
        <f t="shared" si="1"/>
        <v/>
      </c>
      <c r="K54" s="11"/>
      <c r="L54" s="11"/>
      <c r="M54" s="11"/>
      <c r="N54" s="12"/>
    </row>
    <row r="55" spans="1:14" x14ac:dyDescent="0.3">
      <c r="A55" s="8"/>
      <c r="B55" s="9"/>
      <c r="C55" s="9"/>
      <c r="D55" s="9"/>
      <c r="E55" s="9"/>
      <c r="F55" s="9"/>
      <c r="G55" s="9"/>
      <c r="H55" s="9"/>
      <c r="I55" s="10" t="str">
        <f t="shared" si="0"/>
        <v/>
      </c>
      <c r="J55" s="10" t="str">
        <f t="shared" si="1"/>
        <v/>
      </c>
      <c r="K55" s="11"/>
      <c r="L55" s="11"/>
      <c r="M55" s="11"/>
      <c r="N55" s="12"/>
    </row>
    <row r="56" spans="1:14" x14ac:dyDescent="0.3">
      <c r="A56" s="8"/>
      <c r="B56" s="9"/>
      <c r="C56" s="9"/>
      <c r="D56" s="9"/>
      <c r="E56" s="9"/>
      <c r="F56" s="9"/>
      <c r="G56" s="9"/>
      <c r="H56" s="9"/>
      <c r="I56" s="10" t="str">
        <f t="shared" si="0"/>
        <v/>
      </c>
      <c r="J56" s="10" t="str">
        <f t="shared" si="1"/>
        <v/>
      </c>
      <c r="K56" s="11"/>
      <c r="L56" s="11"/>
      <c r="M56" s="11"/>
      <c r="N56" s="12"/>
    </row>
    <row r="57" spans="1:14" x14ac:dyDescent="0.3">
      <c r="A57" s="8"/>
      <c r="B57" s="9"/>
      <c r="C57" s="9"/>
      <c r="D57" s="9"/>
      <c r="E57" s="9"/>
      <c r="F57" s="9"/>
      <c r="G57" s="9"/>
      <c r="H57" s="9"/>
      <c r="I57" s="10" t="str">
        <f t="shared" si="0"/>
        <v/>
      </c>
      <c r="J57" s="10" t="str">
        <f t="shared" si="1"/>
        <v/>
      </c>
      <c r="K57" s="11"/>
      <c r="L57" s="11"/>
      <c r="M57" s="11"/>
      <c r="N57" s="12"/>
    </row>
    <row r="58" spans="1:14" x14ac:dyDescent="0.3">
      <c r="A58" s="8"/>
      <c r="B58" s="9"/>
      <c r="C58" s="9"/>
      <c r="D58" s="9"/>
      <c r="E58" s="9"/>
      <c r="F58" s="9"/>
      <c r="G58" s="9"/>
      <c r="H58" s="9"/>
      <c r="I58" s="10" t="str">
        <f t="shared" si="0"/>
        <v/>
      </c>
      <c r="J58" s="10" t="str">
        <f t="shared" si="1"/>
        <v/>
      </c>
      <c r="K58" s="11"/>
      <c r="L58" s="11"/>
      <c r="M58" s="11"/>
      <c r="N58" s="12"/>
    </row>
    <row r="59" spans="1:14" x14ac:dyDescent="0.3">
      <c r="A59" s="8"/>
      <c r="B59" s="9"/>
      <c r="C59" s="9"/>
      <c r="D59" s="9"/>
      <c r="E59" s="9"/>
      <c r="F59" s="9"/>
      <c r="G59" s="9"/>
      <c r="H59" s="9"/>
      <c r="I59" s="10" t="str">
        <f t="shared" si="0"/>
        <v/>
      </c>
      <c r="J59" s="10" t="str">
        <f t="shared" si="1"/>
        <v/>
      </c>
      <c r="K59" s="11"/>
      <c r="L59" s="11"/>
      <c r="M59" s="11"/>
      <c r="N59" s="12"/>
    </row>
    <row r="60" spans="1:14" x14ac:dyDescent="0.3">
      <c r="A60" s="8"/>
      <c r="B60" s="9"/>
      <c r="C60" s="9"/>
      <c r="D60" s="9"/>
      <c r="E60" s="9"/>
      <c r="F60" s="9"/>
      <c r="G60" s="9"/>
      <c r="H60" s="9"/>
      <c r="I60" s="10" t="str">
        <f t="shared" si="0"/>
        <v/>
      </c>
      <c r="J60" s="10" t="str">
        <f t="shared" si="1"/>
        <v/>
      </c>
      <c r="K60" s="11"/>
      <c r="L60" s="11"/>
      <c r="M60" s="11"/>
      <c r="N60" s="12"/>
    </row>
    <row r="61" spans="1:14" x14ac:dyDescent="0.3">
      <c r="A61" s="8"/>
      <c r="B61" s="9"/>
      <c r="C61" s="9"/>
      <c r="D61" s="9"/>
      <c r="E61" s="9"/>
      <c r="F61" s="9"/>
      <c r="G61" s="9"/>
      <c r="H61" s="9"/>
      <c r="I61" s="10" t="str">
        <f t="shared" si="0"/>
        <v/>
      </c>
      <c r="J61" s="10" t="str">
        <f t="shared" si="1"/>
        <v/>
      </c>
      <c r="K61" s="11"/>
      <c r="L61" s="11"/>
      <c r="M61" s="11"/>
      <c r="N61" s="12"/>
    </row>
    <row r="62" spans="1:14" x14ac:dyDescent="0.3">
      <c r="A62" s="8"/>
      <c r="B62" s="9"/>
      <c r="C62" s="9"/>
      <c r="D62" s="9"/>
      <c r="E62" s="9"/>
      <c r="F62" s="9"/>
      <c r="G62" s="9"/>
      <c r="H62" s="9"/>
      <c r="I62" s="10" t="str">
        <f t="shared" si="0"/>
        <v/>
      </c>
      <c r="J62" s="10" t="str">
        <f t="shared" si="1"/>
        <v/>
      </c>
      <c r="K62" s="11"/>
      <c r="L62" s="11"/>
      <c r="M62" s="11"/>
      <c r="N62" s="12"/>
    </row>
    <row r="63" spans="1:14" x14ac:dyDescent="0.3">
      <c r="A63" s="8"/>
      <c r="B63" s="9"/>
      <c r="C63" s="9"/>
      <c r="D63" s="9"/>
      <c r="E63" s="9"/>
      <c r="F63" s="9"/>
      <c r="G63" s="9"/>
      <c r="H63" s="9"/>
      <c r="I63" s="10" t="str">
        <f t="shared" si="0"/>
        <v/>
      </c>
      <c r="J63" s="10" t="str">
        <f t="shared" si="1"/>
        <v/>
      </c>
      <c r="K63" s="11"/>
      <c r="L63" s="11"/>
      <c r="M63" s="11"/>
      <c r="N63" s="12"/>
    </row>
    <row r="64" spans="1:14" x14ac:dyDescent="0.3">
      <c r="A64" s="8"/>
      <c r="B64" s="9"/>
      <c r="C64" s="9"/>
      <c r="D64" s="9"/>
      <c r="E64" s="9"/>
      <c r="F64" s="9"/>
      <c r="G64" s="9"/>
      <c r="H64" s="9"/>
      <c r="I64" s="10" t="str">
        <f t="shared" si="0"/>
        <v/>
      </c>
      <c r="J64" s="10" t="str">
        <f t="shared" si="1"/>
        <v/>
      </c>
      <c r="K64" s="11"/>
      <c r="L64" s="11"/>
      <c r="M64" s="11"/>
      <c r="N64" s="12"/>
    </row>
    <row r="65" spans="1:14" x14ac:dyDescent="0.3">
      <c r="A65" s="8"/>
      <c r="B65" s="9"/>
      <c r="C65" s="9"/>
      <c r="D65" s="9"/>
      <c r="E65" s="9"/>
      <c r="F65" s="9"/>
      <c r="G65" s="9"/>
      <c r="H65" s="9"/>
      <c r="I65" s="10" t="str">
        <f t="shared" si="0"/>
        <v/>
      </c>
      <c r="J65" s="10" t="str">
        <f t="shared" si="1"/>
        <v/>
      </c>
      <c r="K65" s="11"/>
      <c r="L65" s="11"/>
      <c r="M65" s="11"/>
      <c r="N65" s="12"/>
    </row>
    <row r="66" spans="1:14" x14ac:dyDescent="0.3">
      <c r="A66" s="8"/>
      <c r="B66" s="9"/>
      <c r="C66" s="9"/>
      <c r="D66" s="9"/>
      <c r="E66" s="9"/>
      <c r="F66" s="9"/>
      <c r="G66" s="9"/>
      <c r="H66" s="9"/>
      <c r="I66" s="10" t="str">
        <f t="shared" si="0"/>
        <v/>
      </c>
      <c r="J66" s="10" t="str">
        <f t="shared" si="1"/>
        <v/>
      </c>
      <c r="K66" s="11"/>
      <c r="L66" s="11"/>
      <c r="M66" s="11"/>
      <c r="N66" s="12"/>
    </row>
    <row r="67" spans="1:14" x14ac:dyDescent="0.3">
      <c r="A67" s="8"/>
      <c r="B67" s="9"/>
      <c r="C67" s="9"/>
      <c r="D67" s="9"/>
      <c r="E67" s="9"/>
      <c r="F67" s="9"/>
      <c r="G67" s="9"/>
      <c r="H67" s="9"/>
      <c r="I67" s="10" t="str">
        <f t="shared" si="0"/>
        <v/>
      </c>
      <c r="J67" s="10" t="str">
        <f t="shared" si="1"/>
        <v/>
      </c>
      <c r="K67" s="11"/>
      <c r="L67" s="11"/>
      <c r="M67" s="11"/>
      <c r="N67" s="12"/>
    </row>
    <row r="68" spans="1:14" x14ac:dyDescent="0.3">
      <c r="A68" s="8"/>
      <c r="B68" s="9"/>
      <c r="C68" s="9"/>
      <c r="D68" s="9"/>
      <c r="E68" s="9"/>
      <c r="F68" s="9"/>
      <c r="G68" s="9"/>
      <c r="H68" s="9"/>
      <c r="I68" s="10" t="str">
        <f t="shared" si="0"/>
        <v/>
      </c>
      <c r="J68" s="10" t="str">
        <f t="shared" si="1"/>
        <v/>
      </c>
      <c r="K68" s="11"/>
      <c r="L68" s="11"/>
      <c r="M68" s="11"/>
      <c r="N68" s="12"/>
    </row>
    <row r="69" spans="1:14" x14ac:dyDescent="0.3">
      <c r="A69" s="8"/>
      <c r="B69" s="9"/>
      <c r="C69" s="9"/>
      <c r="D69" s="9"/>
      <c r="E69" s="9"/>
      <c r="F69" s="9"/>
      <c r="G69" s="9"/>
      <c r="H69" s="9"/>
      <c r="I69" s="10" t="str">
        <f t="shared" si="0"/>
        <v/>
      </c>
      <c r="J69" s="10" t="str">
        <f t="shared" si="1"/>
        <v/>
      </c>
      <c r="K69" s="11"/>
      <c r="L69" s="11"/>
      <c r="M69" s="11"/>
      <c r="N69" s="12"/>
    </row>
    <row r="70" spans="1:14" x14ac:dyDescent="0.3">
      <c r="A70" s="8"/>
      <c r="B70" s="9"/>
      <c r="C70" s="9"/>
      <c r="D70" s="9"/>
      <c r="E70" s="9"/>
      <c r="F70" s="9"/>
      <c r="G70" s="9"/>
      <c r="H70" s="9"/>
      <c r="I70" s="10" t="str">
        <f t="shared" ref="I70:I133" si="3">IF(SUM(B70:F70,H70)=0,"",SUM(B70:F70,H70))</f>
        <v/>
      </c>
      <c r="J70" s="10" t="str">
        <f t="shared" ref="J70:J133" si="4">IF(I70="","",1440-I70)</f>
        <v/>
      </c>
      <c r="K70" s="11"/>
      <c r="L70" s="11"/>
      <c r="M70" s="11"/>
      <c r="N70" s="12"/>
    </row>
    <row r="71" spans="1:14" x14ac:dyDescent="0.3">
      <c r="A71" s="8"/>
      <c r="B71" s="9"/>
      <c r="C71" s="9"/>
      <c r="D71" s="9"/>
      <c r="E71" s="9"/>
      <c r="F71" s="9"/>
      <c r="G71" s="9"/>
      <c r="H71" s="9"/>
      <c r="I71" s="10" t="str">
        <f t="shared" si="3"/>
        <v/>
      </c>
      <c r="J71" s="10" t="str">
        <f t="shared" si="4"/>
        <v/>
      </c>
      <c r="K71" s="11"/>
      <c r="L71" s="11"/>
      <c r="M71" s="11"/>
      <c r="N71" s="12"/>
    </row>
    <row r="72" spans="1:14" x14ac:dyDescent="0.3">
      <c r="A72" s="8"/>
      <c r="B72" s="9"/>
      <c r="C72" s="9"/>
      <c r="D72" s="9"/>
      <c r="E72" s="9"/>
      <c r="F72" s="9"/>
      <c r="G72" s="9"/>
      <c r="H72" s="9"/>
      <c r="I72" s="10" t="str">
        <f t="shared" si="3"/>
        <v/>
      </c>
      <c r="J72" s="10" t="str">
        <f t="shared" si="4"/>
        <v/>
      </c>
      <c r="K72" s="11"/>
      <c r="L72" s="11"/>
      <c r="M72" s="11"/>
      <c r="N72" s="12"/>
    </row>
    <row r="73" spans="1:14" x14ac:dyDescent="0.3">
      <c r="A73" s="8"/>
      <c r="B73" s="9"/>
      <c r="C73" s="9"/>
      <c r="D73" s="9"/>
      <c r="E73" s="9"/>
      <c r="F73" s="9"/>
      <c r="G73" s="9"/>
      <c r="H73" s="9"/>
      <c r="I73" s="10" t="str">
        <f t="shared" si="3"/>
        <v/>
      </c>
      <c r="J73" s="10" t="str">
        <f t="shared" si="4"/>
        <v/>
      </c>
      <c r="K73" s="11"/>
      <c r="L73" s="11"/>
      <c r="M73" s="11"/>
      <c r="N73" s="12"/>
    </row>
    <row r="74" spans="1:14" x14ac:dyDescent="0.3">
      <c r="A74" s="8"/>
      <c r="B74" s="9"/>
      <c r="C74" s="9"/>
      <c r="D74" s="9"/>
      <c r="E74" s="9"/>
      <c r="F74" s="9"/>
      <c r="G74" s="9"/>
      <c r="H74" s="9"/>
      <c r="I74" s="10" t="str">
        <f t="shared" si="3"/>
        <v/>
      </c>
      <c r="J74" s="10" t="str">
        <f t="shared" si="4"/>
        <v/>
      </c>
      <c r="K74" s="11"/>
      <c r="L74" s="11"/>
      <c r="M74" s="11"/>
      <c r="N74" s="12"/>
    </row>
    <row r="75" spans="1:14" x14ac:dyDescent="0.3">
      <c r="A75" s="8"/>
      <c r="B75" s="9"/>
      <c r="C75" s="9"/>
      <c r="D75" s="9"/>
      <c r="E75" s="9"/>
      <c r="F75" s="9"/>
      <c r="G75" s="9"/>
      <c r="H75" s="9"/>
      <c r="I75" s="10" t="str">
        <f t="shared" si="3"/>
        <v/>
      </c>
      <c r="J75" s="10" t="str">
        <f t="shared" si="4"/>
        <v/>
      </c>
      <c r="K75" s="11"/>
      <c r="L75" s="11"/>
      <c r="M75" s="11"/>
      <c r="N75" s="12"/>
    </row>
    <row r="76" spans="1:14" x14ac:dyDescent="0.3">
      <c r="A76" s="8"/>
      <c r="B76" s="9"/>
      <c r="C76" s="9"/>
      <c r="D76" s="9"/>
      <c r="E76" s="9"/>
      <c r="F76" s="9"/>
      <c r="G76" s="9"/>
      <c r="H76" s="9"/>
      <c r="I76" s="10" t="str">
        <f t="shared" si="3"/>
        <v/>
      </c>
      <c r="J76" s="10" t="str">
        <f t="shared" si="4"/>
        <v/>
      </c>
      <c r="K76" s="11"/>
      <c r="L76" s="11"/>
      <c r="M76" s="11"/>
      <c r="N76" s="12"/>
    </row>
    <row r="77" spans="1:14" x14ac:dyDescent="0.3">
      <c r="A77" s="8"/>
      <c r="B77" s="9"/>
      <c r="C77" s="9"/>
      <c r="D77" s="9"/>
      <c r="E77" s="9"/>
      <c r="F77" s="9"/>
      <c r="G77" s="9"/>
      <c r="H77" s="9"/>
      <c r="I77" s="10" t="str">
        <f t="shared" si="3"/>
        <v/>
      </c>
      <c r="J77" s="10" t="str">
        <f t="shared" si="4"/>
        <v/>
      </c>
      <c r="K77" s="11"/>
      <c r="L77" s="11"/>
      <c r="M77" s="11"/>
      <c r="N77" s="12"/>
    </row>
    <row r="78" spans="1:14" x14ac:dyDescent="0.3">
      <c r="A78" s="8"/>
      <c r="B78" s="9"/>
      <c r="C78" s="9"/>
      <c r="D78" s="9"/>
      <c r="E78" s="9"/>
      <c r="F78" s="9"/>
      <c r="G78" s="9"/>
      <c r="H78" s="9"/>
      <c r="I78" s="10" t="str">
        <f t="shared" si="3"/>
        <v/>
      </c>
      <c r="J78" s="10" t="str">
        <f t="shared" si="4"/>
        <v/>
      </c>
      <c r="K78" s="11"/>
      <c r="L78" s="11"/>
      <c r="M78" s="11"/>
      <c r="N78" s="12"/>
    </row>
    <row r="79" spans="1:14" x14ac:dyDescent="0.3">
      <c r="A79" s="8"/>
      <c r="B79" s="9"/>
      <c r="C79" s="9"/>
      <c r="D79" s="9"/>
      <c r="E79" s="9"/>
      <c r="F79" s="9"/>
      <c r="G79" s="9"/>
      <c r="H79" s="9"/>
      <c r="I79" s="10" t="str">
        <f t="shared" si="3"/>
        <v/>
      </c>
      <c r="J79" s="10" t="str">
        <f t="shared" si="4"/>
        <v/>
      </c>
      <c r="K79" s="11"/>
      <c r="L79" s="11"/>
      <c r="M79" s="11"/>
      <c r="N79" s="12"/>
    </row>
    <row r="80" spans="1:14" x14ac:dyDescent="0.3">
      <c r="A80" s="8"/>
      <c r="B80" s="9"/>
      <c r="C80" s="9"/>
      <c r="D80" s="9"/>
      <c r="E80" s="9"/>
      <c r="F80" s="9"/>
      <c r="G80" s="9"/>
      <c r="H80" s="9"/>
      <c r="I80" s="10" t="str">
        <f t="shared" si="3"/>
        <v/>
      </c>
      <c r="J80" s="10" t="str">
        <f t="shared" si="4"/>
        <v/>
      </c>
      <c r="K80" s="11"/>
      <c r="L80" s="11"/>
      <c r="M80" s="11"/>
      <c r="N80" s="12"/>
    </row>
    <row r="81" spans="1:14" x14ac:dyDescent="0.3">
      <c r="A81" s="8"/>
      <c r="B81" s="9"/>
      <c r="C81" s="9"/>
      <c r="D81" s="9"/>
      <c r="E81" s="9"/>
      <c r="F81" s="9"/>
      <c r="G81" s="9"/>
      <c r="H81" s="9"/>
      <c r="I81" s="10" t="str">
        <f t="shared" si="3"/>
        <v/>
      </c>
      <c r="J81" s="10" t="str">
        <f t="shared" si="4"/>
        <v/>
      </c>
      <c r="K81" s="11"/>
      <c r="L81" s="11"/>
      <c r="M81" s="11"/>
      <c r="N81" s="12"/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3"/>
        <v/>
      </c>
      <c r="J82" s="10" t="str">
        <f t="shared" si="4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3"/>
        <v/>
      </c>
      <c r="J83" s="10" t="str">
        <f t="shared" si="4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3"/>
        <v/>
      </c>
      <c r="J84" s="10" t="str">
        <f t="shared" si="4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3"/>
        <v/>
      </c>
      <c r="J85" s="10" t="str">
        <f t="shared" si="4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3"/>
        <v/>
      </c>
      <c r="J86" s="10" t="str">
        <f t="shared" si="4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3"/>
        <v/>
      </c>
      <c r="J87" s="10" t="str">
        <f t="shared" si="4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3"/>
        <v/>
      </c>
      <c r="J88" s="10" t="str">
        <f t="shared" si="4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3"/>
        <v/>
      </c>
      <c r="J89" s="10" t="str">
        <f t="shared" si="4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3"/>
        <v/>
      </c>
      <c r="J90" s="10" t="str">
        <f t="shared" si="4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3"/>
        <v/>
      </c>
      <c r="J91" s="10" t="str">
        <f t="shared" si="4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3"/>
        <v/>
      </c>
      <c r="J92" s="10" t="str">
        <f t="shared" si="4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3"/>
        <v/>
      </c>
      <c r="J93" s="10" t="str">
        <f t="shared" si="4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3"/>
        <v/>
      </c>
      <c r="J94" s="10" t="str">
        <f t="shared" si="4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3"/>
        <v/>
      </c>
      <c r="J95" s="10" t="str">
        <f t="shared" si="4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3"/>
        <v/>
      </c>
      <c r="J96" s="10" t="str">
        <f t="shared" si="4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3"/>
        <v/>
      </c>
      <c r="J97" s="10" t="str">
        <f t="shared" si="4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3"/>
        <v/>
      </c>
      <c r="J98" s="10" t="str">
        <f t="shared" si="4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3"/>
        <v/>
      </c>
      <c r="J99" s="10" t="str">
        <f t="shared" si="4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3"/>
        <v/>
      </c>
      <c r="J100" s="10" t="str">
        <f t="shared" si="4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3"/>
        <v/>
      </c>
      <c r="J101" s="10" t="str">
        <f t="shared" si="4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3"/>
        <v/>
      </c>
      <c r="J102" s="10" t="str">
        <f t="shared" si="4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3"/>
        <v/>
      </c>
      <c r="J103" s="10" t="str">
        <f t="shared" si="4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3"/>
        <v/>
      </c>
      <c r="J104" s="10" t="str">
        <f t="shared" si="4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3"/>
        <v/>
      </c>
      <c r="J105" s="10" t="str">
        <f t="shared" si="4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3"/>
        <v/>
      </c>
      <c r="J106" s="10" t="str">
        <f t="shared" si="4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3"/>
        <v/>
      </c>
      <c r="J107" s="10" t="str">
        <f t="shared" si="4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3"/>
        <v/>
      </c>
      <c r="J108" s="10" t="str">
        <f t="shared" si="4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3"/>
        <v/>
      </c>
      <c r="J109" s="10" t="str">
        <f t="shared" si="4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3"/>
        <v/>
      </c>
      <c r="J110" s="10" t="str">
        <f t="shared" si="4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3"/>
        <v/>
      </c>
      <c r="J111" s="10" t="str">
        <f t="shared" si="4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3"/>
        <v/>
      </c>
      <c r="J112" s="10" t="str">
        <f t="shared" si="4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3"/>
        <v/>
      </c>
      <c r="J113" s="10" t="str">
        <f t="shared" si="4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3"/>
        <v/>
      </c>
      <c r="J114" s="10" t="str">
        <f t="shared" si="4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3"/>
        <v/>
      </c>
      <c r="J115" s="10" t="str">
        <f t="shared" si="4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3"/>
        <v/>
      </c>
      <c r="J116" s="10" t="str">
        <f t="shared" si="4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3"/>
        <v/>
      </c>
      <c r="J117" s="10" t="str">
        <f t="shared" si="4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3"/>
        <v/>
      </c>
      <c r="J118" s="10" t="str">
        <f t="shared" si="4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3"/>
        <v/>
      </c>
      <c r="J119" s="10" t="str">
        <f t="shared" si="4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3"/>
        <v/>
      </c>
      <c r="J120" s="10" t="str">
        <f t="shared" si="4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3"/>
        <v/>
      </c>
      <c r="J121" s="10" t="str">
        <f t="shared" si="4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3"/>
        <v/>
      </c>
      <c r="J122" s="10" t="str">
        <f t="shared" si="4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3"/>
        <v/>
      </c>
      <c r="J123" s="10" t="str">
        <f t="shared" si="4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3"/>
        <v/>
      </c>
      <c r="J124" s="10" t="str">
        <f t="shared" si="4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3"/>
        <v/>
      </c>
      <c r="J125" s="10" t="str">
        <f t="shared" si="4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3"/>
        <v/>
      </c>
      <c r="J126" s="10" t="str">
        <f t="shared" si="4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3"/>
        <v/>
      </c>
      <c r="J127" s="10" t="str">
        <f t="shared" si="4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3"/>
        <v/>
      </c>
      <c r="J128" s="10" t="str">
        <f t="shared" si="4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3"/>
        <v/>
      </c>
      <c r="J129" s="10" t="str">
        <f t="shared" si="4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3"/>
        <v/>
      </c>
      <c r="J130" s="10" t="str">
        <f t="shared" si="4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3"/>
        <v/>
      </c>
      <c r="J131" s="10" t="str">
        <f t="shared" si="4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3"/>
        <v/>
      </c>
      <c r="J132" s="10" t="str">
        <f t="shared" si="4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3"/>
        <v/>
      </c>
      <c r="J133" s="10" t="str">
        <f t="shared" si="4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ref="I134:I197" si="5">IF(SUM(B134:F134,H134)=0,"",SUM(B134:F134,H134))</f>
        <v/>
      </c>
      <c r="J134" s="10" t="str">
        <f t="shared" ref="J134:J197" si="6">IF(I134="","",1440-I134)</f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5"/>
        <v/>
      </c>
      <c r="J135" s="10" t="str">
        <f t="shared" si="6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5"/>
        <v/>
      </c>
      <c r="J136" s="10" t="str">
        <f t="shared" si="6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5"/>
        <v/>
      </c>
      <c r="J137" s="10" t="str">
        <f t="shared" si="6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5"/>
        <v/>
      </c>
      <c r="J138" s="10" t="str">
        <f t="shared" si="6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5"/>
        <v/>
      </c>
      <c r="J139" s="10" t="str">
        <f t="shared" si="6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5"/>
        <v/>
      </c>
      <c r="J140" s="10" t="str">
        <f t="shared" si="6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5"/>
        <v/>
      </c>
      <c r="J141" s="10" t="str">
        <f t="shared" si="6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5"/>
        <v/>
      </c>
      <c r="J142" s="10" t="str">
        <f t="shared" si="6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5"/>
        <v/>
      </c>
      <c r="J143" s="10" t="str">
        <f t="shared" si="6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5"/>
        <v/>
      </c>
      <c r="J144" s="10" t="str">
        <f t="shared" si="6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5"/>
        <v/>
      </c>
      <c r="J145" s="10" t="str">
        <f t="shared" si="6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5"/>
        <v/>
      </c>
      <c r="J146" s="10" t="str">
        <f t="shared" si="6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5"/>
        <v/>
      </c>
      <c r="J147" s="10" t="str">
        <f t="shared" si="6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5"/>
        <v/>
      </c>
      <c r="J148" s="10" t="str">
        <f t="shared" si="6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5"/>
        <v/>
      </c>
      <c r="J149" s="10" t="str">
        <f t="shared" si="6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5"/>
        <v/>
      </c>
      <c r="J150" s="10" t="str">
        <f t="shared" si="6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5"/>
        <v/>
      </c>
      <c r="J151" s="10" t="str">
        <f t="shared" si="6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5"/>
        <v/>
      </c>
      <c r="J152" s="10" t="str">
        <f t="shared" si="6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5"/>
        <v/>
      </c>
      <c r="J153" s="10" t="str">
        <f t="shared" si="6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5"/>
        <v/>
      </c>
      <c r="J154" s="10" t="str">
        <f t="shared" si="6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5"/>
        <v/>
      </c>
      <c r="J155" s="10" t="str">
        <f t="shared" si="6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5"/>
        <v/>
      </c>
      <c r="J156" s="10" t="str">
        <f t="shared" si="6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5"/>
        <v/>
      </c>
      <c r="J157" s="10" t="str">
        <f t="shared" si="6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5"/>
        <v/>
      </c>
      <c r="J158" s="10" t="str">
        <f t="shared" si="6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5"/>
        <v/>
      </c>
      <c r="J159" s="10" t="str">
        <f t="shared" si="6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5"/>
        <v/>
      </c>
      <c r="J160" s="10" t="str">
        <f t="shared" si="6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5"/>
        <v/>
      </c>
      <c r="J161" s="10" t="str">
        <f t="shared" si="6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5"/>
        <v/>
      </c>
      <c r="J162" s="10" t="str">
        <f t="shared" si="6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5"/>
        <v/>
      </c>
      <c r="J163" s="10" t="str">
        <f t="shared" si="6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5"/>
        <v/>
      </c>
      <c r="J164" s="10" t="str">
        <f t="shared" si="6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5"/>
        <v/>
      </c>
      <c r="J165" s="10" t="str">
        <f t="shared" si="6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5"/>
        <v/>
      </c>
      <c r="J166" s="10" t="str">
        <f t="shared" si="6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5"/>
        <v/>
      </c>
      <c r="J167" s="10" t="str">
        <f t="shared" si="6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5"/>
        <v/>
      </c>
      <c r="J168" s="10" t="str">
        <f t="shared" si="6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5"/>
        <v/>
      </c>
      <c r="J169" s="10" t="str">
        <f t="shared" si="6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5"/>
        <v/>
      </c>
      <c r="J170" s="10" t="str">
        <f t="shared" si="6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5"/>
        <v/>
      </c>
      <c r="J171" s="10" t="str">
        <f t="shared" si="6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5"/>
        <v/>
      </c>
      <c r="J172" s="10" t="str">
        <f t="shared" si="6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5"/>
        <v/>
      </c>
      <c r="J173" s="10" t="str">
        <f t="shared" si="6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5"/>
        <v/>
      </c>
      <c r="J174" s="10" t="str">
        <f t="shared" si="6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5"/>
        <v/>
      </c>
      <c r="J175" s="10" t="str">
        <f t="shared" si="6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5"/>
        <v/>
      </c>
      <c r="J176" s="10" t="str">
        <f t="shared" si="6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5"/>
        <v/>
      </c>
      <c r="J177" s="10" t="str">
        <f t="shared" si="6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5"/>
        <v/>
      </c>
      <c r="J178" s="10" t="str">
        <f t="shared" si="6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5"/>
        <v/>
      </c>
      <c r="J179" s="10" t="str">
        <f t="shared" si="6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5"/>
        <v/>
      </c>
      <c r="J180" s="10" t="str">
        <f t="shared" si="6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5"/>
        <v/>
      </c>
      <c r="J181" s="10" t="str">
        <f t="shared" si="6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5"/>
        <v/>
      </c>
      <c r="J182" s="10" t="str">
        <f t="shared" si="6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5"/>
        <v/>
      </c>
      <c r="J183" s="10" t="str">
        <f t="shared" si="6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5"/>
        <v/>
      </c>
      <c r="J184" s="10" t="str">
        <f t="shared" si="6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5"/>
        <v/>
      </c>
      <c r="J185" s="10" t="str">
        <f t="shared" si="6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5"/>
        <v/>
      </c>
      <c r="J186" s="10" t="str">
        <f t="shared" si="6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5"/>
        <v/>
      </c>
      <c r="J187" s="10" t="str">
        <f t="shared" si="6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5"/>
        <v/>
      </c>
      <c r="J188" s="10" t="str">
        <f t="shared" si="6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5"/>
        <v/>
      </c>
      <c r="J189" s="10" t="str">
        <f t="shared" si="6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5"/>
        <v/>
      </c>
      <c r="J190" s="10" t="str">
        <f t="shared" si="6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5"/>
        <v/>
      </c>
      <c r="J191" s="10" t="str">
        <f t="shared" si="6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5"/>
        <v/>
      </c>
      <c r="J192" s="10" t="str">
        <f t="shared" si="6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5"/>
        <v/>
      </c>
      <c r="J193" s="10" t="str">
        <f t="shared" si="6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5"/>
        <v/>
      </c>
      <c r="J194" s="10" t="str">
        <f t="shared" si="6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5"/>
        <v/>
      </c>
      <c r="J195" s="10" t="str">
        <f t="shared" si="6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5"/>
        <v/>
      </c>
      <c r="J196" s="10" t="str">
        <f t="shared" si="6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5"/>
        <v/>
      </c>
      <c r="J197" s="10" t="str">
        <f t="shared" si="6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ref="I198:I261" si="7">IF(SUM(B198:F198,H198)=0,"",SUM(B198:F198,H198))</f>
        <v/>
      </c>
      <c r="J198" s="10" t="str">
        <f t="shared" ref="J198:J261" si="8">IF(I198="","",1440-I198)</f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7"/>
        <v/>
      </c>
      <c r="J199" s="10" t="str">
        <f t="shared" si="8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7"/>
        <v/>
      </c>
      <c r="J200" s="10" t="str">
        <f t="shared" si="8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7"/>
        <v/>
      </c>
      <c r="J201" s="10" t="str">
        <f t="shared" si="8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7"/>
        <v/>
      </c>
      <c r="J202" s="10" t="str">
        <f t="shared" si="8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7"/>
        <v/>
      </c>
      <c r="J203" s="10" t="str">
        <f t="shared" si="8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7"/>
        <v/>
      </c>
      <c r="J204" s="10" t="str">
        <f t="shared" si="8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7"/>
        <v/>
      </c>
      <c r="J205" s="10" t="str">
        <f t="shared" si="8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7"/>
        <v/>
      </c>
      <c r="J206" s="10" t="str">
        <f t="shared" si="8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7"/>
        <v/>
      </c>
      <c r="J207" s="10" t="str">
        <f t="shared" si="8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7"/>
        <v/>
      </c>
      <c r="J208" s="10" t="str">
        <f t="shared" si="8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7"/>
        <v/>
      </c>
      <c r="J209" s="10" t="str">
        <f t="shared" si="8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7"/>
        <v/>
      </c>
      <c r="J210" s="10" t="str">
        <f t="shared" si="8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7"/>
        <v/>
      </c>
      <c r="J211" s="10" t="str">
        <f t="shared" si="8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7"/>
        <v/>
      </c>
      <c r="J212" s="10" t="str">
        <f t="shared" si="8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7"/>
        <v/>
      </c>
      <c r="J213" s="10" t="str">
        <f t="shared" si="8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7"/>
        <v/>
      </c>
      <c r="J214" s="10" t="str">
        <f t="shared" si="8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7"/>
        <v/>
      </c>
      <c r="J215" s="10" t="str">
        <f t="shared" si="8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7"/>
        <v/>
      </c>
      <c r="J216" s="10" t="str">
        <f t="shared" si="8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7"/>
        <v/>
      </c>
      <c r="J217" s="10" t="str">
        <f t="shared" si="8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7"/>
        <v/>
      </c>
      <c r="J218" s="10" t="str">
        <f t="shared" si="8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7"/>
        <v/>
      </c>
      <c r="J219" s="10" t="str">
        <f t="shared" si="8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7"/>
        <v/>
      </c>
      <c r="J220" s="10" t="str">
        <f t="shared" si="8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7"/>
        <v/>
      </c>
      <c r="J221" s="10" t="str">
        <f t="shared" si="8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7"/>
        <v/>
      </c>
      <c r="J222" s="10" t="str">
        <f t="shared" si="8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7"/>
        <v/>
      </c>
      <c r="J223" s="10" t="str">
        <f t="shared" si="8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7"/>
        <v/>
      </c>
      <c r="J224" s="10" t="str">
        <f t="shared" si="8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7"/>
        <v/>
      </c>
      <c r="J225" s="10" t="str">
        <f t="shared" si="8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7"/>
        <v/>
      </c>
      <c r="J226" s="10" t="str">
        <f t="shared" si="8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7"/>
        <v/>
      </c>
      <c r="J227" s="10" t="str">
        <f t="shared" si="8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7"/>
        <v/>
      </c>
      <c r="J228" s="10" t="str">
        <f t="shared" si="8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7"/>
        <v/>
      </c>
      <c r="J229" s="10" t="str">
        <f t="shared" si="8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7"/>
        <v/>
      </c>
      <c r="J230" s="10" t="str">
        <f t="shared" si="8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7"/>
        <v/>
      </c>
      <c r="J231" s="10" t="str">
        <f t="shared" si="8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7"/>
        <v/>
      </c>
      <c r="J232" s="10" t="str">
        <f t="shared" si="8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7"/>
        <v/>
      </c>
      <c r="J233" s="10" t="str">
        <f t="shared" si="8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7"/>
        <v/>
      </c>
      <c r="J234" s="10" t="str">
        <f t="shared" si="8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7"/>
        <v/>
      </c>
      <c r="J235" s="10" t="str">
        <f t="shared" si="8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7"/>
        <v/>
      </c>
      <c r="J236" s="10" t="str">
        <f t="shared" si="8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7"/>
        <v/>
      </c>
      <c r="J237" s="10" t="str">
        <f t="shared" si="8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7"/>
        <v/>
      </c>
      <c r="J238" s="10" t="str">
        <f t="shared" si="8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7"/>
        <v/>
      </c>
      <c r="J239" s="10" t="str">
        <f t="shared" si="8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7"/>
        <v/>
      </c>
      <c r="J240" s="10" t="str">
        <f t="shared" si="8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7"/>
        <v/>
      </c>
      <c r="J241" s="10" t="str">
        <f t="shared" si="8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7"/>
        <v/>
      </c>
      <c r="J242" s="10" t="str">
        <f t="shared" si="8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7"/>
        <v/>
      </c>
      <c r="J243" s="10" t="str">
        <f t="shared" si="8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7"/>
        <v/>
      </c>
      <c r="J244" s="10" t="str">
        <f t="shared" si="8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7"/>
        <v/>
      </c>
      <c r="J245" s="10" t="str">
        <f t="shared" si="8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7"/>
        <v/>
      </c>
      <c r="J246" s="10" t="str">
        <f t="shared" si="8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7"/>
        <v/>
      </c>
      <c r="J247" s="10" t="str">
        <f t="shared" si="8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7"/>
        <v/>
      </c>
      <c r="J248" s="10" t="str">
        <f t="shared" si="8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7"/>
        <v/>
      </c>
      <c r="J249" s="10" t="str">
        <f t="shared" si="8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7"/>
        <v/>
      </c>
      <c r="J250" s="10" t="str">
        <f t="shared" si="8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7"/>
        <v/>
      </c>
      <c r="J251" s="10" t="str">
        <f t="shared" si="8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7"/>
        <v/>
      </c>
      <c r="J252" s="10" t="str">
        <f t="shared" si="8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7"/>
        <v/>
      </c>
      <c r="J253" s="10" t="str">
        <f t="shared" si="8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7"/>
        <v/>
      </c>
      <c r="J254" s="10" t="str">
        <f t="shared" si="8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7"/>
        <v/>
      </c>
      <c r="J255" s="10" t="str">
        <f t="shared" si="8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7"/>
        <v/>
      </c>
      <c r="J256" s="10" t="str">
        <f t="shared" si="8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7"/>
        <v/>
      </c>
      <c r="J257" s="10" t="str">
        <f t="shared" si="8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7"/>
        <v/>
      </c>
      <c r="J258" s="10" t="str">
        <f t="shared" si="8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7"/>
        <v/>
      </c>
      <c r="J259" s="10" t="str">
        <f t="shared" si="8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7"/>
        <v/>
      </c>
      <c r="J260" s="10" t="str">
        <f t="shared" si="8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7"/>
        <v/>
      </c>
      <c r="J261" s="10" t="str">
        <f t="shared" si="8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9">IF(SUM(B262:F262,H262)=0,"",SUM(B262:F262,H262))</f>
        <v/>
      </c>
      <c r="J262" s="10" t="str">
        <f t="shared" ref="J262:J325" si="10">IF(I262="","",1440-I262)</f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9"/>
        <v/>
      </c>
      <c r="J263" s="10" t="str">
        <f t="shared" si="10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9"/>
        <v/>
      </c>
      <c r="J264" s="10" t="str">
        <f t="shared" si="10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9"/>
        <v/>
      </c>
      <c r="J265" s="10" t="str">
        <f t="shared" si="10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9"/>
        <v/>
      </c>
      <c r="J266" s="10" t="str">
        <f t="shared" si="10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9"/>
        <v/>
      </c>
      <c r="J267" s="10" t="str">
        <f t="shared" si="10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9"/>
        <v/>
      </c>
      <c r="J268" s="10" t="str">
        <f t="shared" si="10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9"/>
        <v/>
      </c>
      <c r="J269" s="10" t="str">
        <f t="shared" si="10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9"/>
        <v/>
      </c>
      <c r="J270" s="10" t="str">
        <f t="shared" si="10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9"/>
        <v/>
      </c>
      <c r="J271" s="10" t="str">
        <f t="shared" si="10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9"/>
        <v/>
      </c>
      <c r="J272" s="10" t="str">
        <f t="shared" si="10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9"/>
        <v/>
      </c>
      <c r="J273" s="10" t="str">
        <f t="shared" si="10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9"/>
        <v/>
      </c>
      <c r="J274" s="10" t="str">
        <f t="shared" si="10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9"/>
        <v/>
      </c>
      <c r="J275" s="10" t="str">
        <f t="shared" si="10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9"/>
        <v/>
      </c>
      <c r="J276" s="10" t="str">
        <f t="shared" si="10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9"/>
        <v/>
      </c>
      <c r="J277" s="10" t="str">
        <f t="shared" si="10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9"/>
        <v/>
      </c>
      <c r="J278" s="10" t="str">
        <f t="shared" si="10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9"/>
        <v/>
      </c>
      <c r="J279" s="10" t="str">
        <f t="shared" si="10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9"/>
        <v/>
      </c>
      <c r="J280" s="10" t="str">
        <f t="shared" si="10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9"/>
        <v/>
      </c>
      <c r="J281" s="10" t="str">
        <f t="shared" si="10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9"/>
        <v/>
      </c>
      <c r="J282" s="10" t="str">
        <f t="shared" si="10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9"/>
        <v/>
      </c>
      <c r="J283" s="10" t="str">
        <f t="shared" si="10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9"/>
        <v/>
      </c>
      <c r="J284" s="10" t="str">
        <f t="shared" si="10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9"/>
        <v/>
      </c>
      <c r="J285" s="10" t="str">
        <f t="shared" si="10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9"/>
        <v/>
      </c>
      <c r="J286" s="10" t="str">
        <f t="shared" si="10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9"/>
        <v/>
      </c>
      <c r="J287" s="10" t="str">
        <f t="shared" si="10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9"/>
        <v/>
      </c>
      <c r="J288" s="10" t="str">
        <f t="shared" si="10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9"/>
        <v/>
      </c>
      <c r="J289" s="10" t="str">
        <f t="shared" si="10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9"/>
        <v/>
      </c>
      <c r="J290" s="10" t="str">
        <f t="shared" si="10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9"/>
        <v/>
      </c>
      <c r="J291" s="10" t="str">
        <f t="shared" si="10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9"/>
        <v/>
      </c>
      <c r="J292" s="10" t="str">
        <f t="shared" si="10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9"/>
        <v/>
      </c>
      <c r="J293" s="10" t="str">
        <f t="shared" si="10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9"/>
        <v/>
      </c>
      <c r="J294" s="10" t="str">
        <f t="shared" si="10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9"/>
        <v/>
      </c>
      <c r="J295" s="10" t="str">
        <f t="shared" si="10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9"/>
        <v/>
      </c>
      <c r="J296" s="10" t="str">
        <f t="shared" si="10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9"/>
        <v/>
      </c>
      <c r="J297" s="10" t="str">
        <f t="shared" si="10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9"/>
        <v/>
      </c>
      <c r="J298" s="10" t="str">
        <f t="shared" si="10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9"/>
        <v/>
      </c>
      <c r="J299" s="10" t="str">
        <f t="shared" si="10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9"/>
        <v/>
      </c>
      <c r="J300" s="10" t="str">
        <f t="shared" si="10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9"/>
        <v/>
      </c>
      <c r="J301" s="10" t="str">
        <f t="shared" si="10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9"/>
        <v/>
      </c>
      <c r="J302" s="10" t="str">
        <f t="shared" si="10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9"/>
        <v/>
      </c>
      <c r="J303" s="10" t="str">
        <f t="shared" si="10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9"/>
        <v/>
      </c>
      <c r="J304" s="10" t="str">
        <f t="shared" si="10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9"/>
        <v/>
      </c>
      <c r="J305" s="10" t="str">
        <f t="shared" si="10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9"/>
        <v/>
      </c>
      <c r="J306" s="10" t="str">
        <f t="shared" si="10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9"/>
        <v/>
      </c>
      <c r="J307" s="10" t="str">
        <f t="shared" si="10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9"/>
        <v/>
      </c>
      <c r="J308" s="10" t="str">
        <f t="shared" si="10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9"/>
        <v/>
      </c>
      <c r="J309" s="10" t="str">
        <f t="shared" si="10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9"/>
        <v/>
      </c>
      <c r="J310" s="10" t="str">
        <f t="shared" si="10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9"/>
        <v/>
      </c>
      <c r="J311" s="10" t="str">
        <f t="shared" si="10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9"/>
        <v/>
      </c>
      <c r="J312" s="10" t="str">
        <f t="shared" si="10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9"/>
        <v/>
      </c>
      <c r="J313" s="10" t="str">
        <f t="shared" si="10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9"/>
        <v/>
      </c>
      <c r="J314" s="10" t="str">
        <f t="shared" si="10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9"/>
        <v/>
      </c>
      <c r="J315" s="10" t="str">
        <f t="shared" si="10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9"/>
        <v/>
      </c>
      <c r="J316" s="10" t="str">
        <f t="shared" si="10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9"/>
        <v/>
      </c>
      <c r="J317" s="10" t="str">
        <f t="shared" si="10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9"/>
        <v/>
      </c>
      <c r="J318" s="10" t="str">
        <f t="shared" si="10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9"/>
        <v/>
      </c>
      <c r="J319" s="10" t="str">
        <f t="shared" si="10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9"/>
        <v/>
      </c>
      <c r="J320" s="10" t="str">
        <f t="shared" si="10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9"/>
        <v/>
      </c>
      <c r="J321" s="10" t="str">
        <f t="shared" si="10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9"/>
        <v/>
      </c>
      <c r="J322" s="10" t="str">
        <f t="shared" si="10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9"/>
        <v/>
      </c>
      <c r="J323" s="10" t="str">
        <f t="shared" si="10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9"/>
        <v/>
      </c>
      <c r="J324" s="10" t="str">
        <f t="shared" si="10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9"/>
        <v/>
      </c>
      <c r="J325" s="10" t="str">
        <f t="shared" si="10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11">IF(SUM(B326:F326,H326)=0,"",SUM(B326:F326,H326))</f>
        <v/>
      </c>
      <c r="J326" s="10" t="str">
        <f t="shared" ref="J326:J389" si="12">IF(I326="","",1440-I326)</f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1"/>
        <v/>
      </c>
      <c r="J327" s="10" t="str">
        <f t="shared" si="12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1"/>
        <v/>
      </c>
      <c r="J328" s="10" t="str">
        <f t="shared" si="12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1"/>
        <v/>
      </c>
      <c r="J329" s="10" t="str">
        <f t="shared" si="12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1"/>
        <v/>
      </c>
      <c r="J330" s="10" t="str">
        <f t="shared" si="12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1"/>
        <v/>
      </c>
      <c r="J331" s="10" t="str">
        <f t="shared" si="12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1"/>
        <v/>
      </c>
      <c r="J332" s="10" t="str">
        <f t="shared" si="12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1"/>
        <v/>
      </c>
      <c r="J333" s="10" t="str">
        <f t="shared" si="12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1"/>
        <v/>
      </c>
      <c r="J334" s="10" t="str">
        <f t="shared" si="12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1"/>
        <v/>
      </c>
      <c r="J335" s="10" t="str">
        <f t="shared" si="12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1"/>
        <v/>
      </c>
      <c r="J336" s="10" t="str">
        <f t="shared" si="12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1"/>
        <v/>
      </c>
      <c r="J337" s="10" t="str">
        <f t="shared" si="12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1"/>
        <v/>
      </c>
      <c r="J338" s="10" t="str">
        <f t="shared" si="12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1"/>
        <v/>
      </c>
      <c r="J339" s="10" t="str">
        <f t="shared" si="12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1"/>
        <v/>
      </c>
      <c r="J340" s="10" t="str">
        <f t="shared" si="12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1"/>
        <v/>
      </c>
      <c r="J341" s="10" t="str">
        <f t="shared" si="12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1"/>
        <v/>
      </c>
      <c r="J342" s="10" t="str">
        <f t="shared" si="12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1"/>
        <v/>
      </c>
      <c r="J343" s="10" t="str">
        <f t="shared" si="12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1"/>
        <v/>
      </c>
      <c r="J344" s="10" t="str">
        <f t="shared" si="12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1"/>
        <v/>
      </c>
      <c r="J345" s="10" t="str">
        <f t="shared" si="12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1"/>
        <v/>
      </c>
      <c r="J346" s="10" t="str">
        <f t="shared" si="12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1"/>
        <v/>
      </c>
      <c r="J347" s="10" t="str">
        <f t="shared" si="12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1"/>
        <v/>
      </c>
      <c r="J348" s="10" t="str">
        <f t="shared" si="12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1"/>
        <v/>
      </c>
      <c r="J349" s="10" t="str">
        <f t="shared" si="12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1"/>
        <v/>
      </c>
      <c r="J350" s="10" t="str">
        <f t="shared" si="12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1"/>
        <v/>
      </c>
      <c r="J351" s="10" t="str">
        <f t="shared" si="12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1"/>
        <v/>
      </c>
      <c r="J352" s="10" t="str">
        <f t="shared" si="12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1"/>
        <v/>
      </c>
      <c r="J353" s="10" t="str">
        <f t="shared" si="12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1"/>
        <v/>
      </c>
      <c r="J354" s="10" t="str">
        <f t="shared" si="12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1"/>
        <v/>
      </c>
      <c r="J355" s="10" t="str">
        <f t="shared" si="12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1"/>
        <v/>
      </c>
      <c r="J356" s="10" t="str">
        <f t="shared" si="12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1"/>
        <v/>
      </c>
      <c r="J357" s="10" t="str">
        <f t="shared" si="12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1"/>
        <v/>
      </c>
      <c r="J358" s="10" t="str">
        <f t="shared" si="12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1"/>
        <v/>
      </c>
      <c r="J359" s="10" t="str">
        <f t="shared" si="12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1"/>
        <v/>
      </c>
      <c r="J360" s="10" t="str">
        <f t="shared" si="12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1"/>
        <v/>
      </c>
      <c r="J361" s="10" t="str">
        <f t="shared" si="12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1"/>
        <v/>
      </c>
      <c r="J362" s="10" t="str">
        <f t="shared" si="12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1"/>
        <v/>
      </c>
      <c r="J363" s="10" t="str">
        <f t="shared" si="12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1"/>
        <v/>
      </c>
      <c r="J364" s="10" t="str">
        <f t="shared" si="12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1"/>
        <v/>
      </c>
      <c r="J365" s="10" t="str">
        <f t="shared" si="12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1"/>
        <v/>
      </c>
      <c r="J366" s="10" t="str">
        <f t="shared" si="12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1"/>
        <v/>
      </c>
      <c r="J367" s="10" t="str">
        <f t="shared" si="12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1"/>
        <v/>
      </c>
      <c r="J368" s="10" t="str">
        <f t="shared" si="12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1"/>
        <v/>
      </c>
      <c r="J369" s="10" t="str">
        <f t="shared" si="12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1"/>
        <v/>
      </c>
      <c r="J370" s="10" t="str">
        <f t="shared" si="12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1"/>
        <v/>
      </c>
      <c r="J371" s="10" t="str">
        <f t="shared" si="12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1"/>
        <v/>
      </c>
      <c r="J372" s="10" t="str">
        <f t="shared" si="12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1"/>
        <v/>
      </c>
      <c r="J373" s="10" t="str">
        <f t="shared" si="12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1"/>
        <v/>
      </c>
      <c r="J374" s="10" t="str">
        <f t="shared" si="12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1"/>
        <v/>
      </c>
      <c r="J375" s="10" t="str">
        <f t="shared" si="12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1"/>
        <v/>
      </c>
      <c r="J376" s="10" t="str">
        <f t="shared" si="12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1"/>
        <v/>
      </c>
      <c r="J377" s="10" t="str">
        <f t="shared" si="12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1"/>
        <v/>
      </c>
      <c r="J378" s="10" t="str">
        <f t="shared" si="12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1"/>
        <v/>
      </c>
      <c r="J379" s="10" t="str">
        <f t="shared" si="12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1"/>
        <v/>
      </c>
      <c r="J380" s="10" t="str">
        <f t="shared" si="12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1"/>
        <v/>
      </c>
      <c r="J381" s="10" t="str">
        <f t="shared" si="12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1"/>
        <v/>
      </c>
      <c r="J382" s="10" t="str">
        <f t="shared" si="12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1"/>
        <v/>
      </c>
      <c r="J383" s="10" t="str">
        <f t="shared" si="12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1"/>
        <v/>
      </c>
      <c r="J384" s="10" t="str">
        <f t="shared" si="12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1"/>
        <v/>
      </c>
      <c r="J385" s="10" t="str">
        <f t="shared" si="12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1"/>
        <v/>
      </c>
      <c r="J386" s="10" t="str">
        <f t="shared" si="12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1"/>
        <v/>
      </c>
      <c r="J387" s="10" t="str">
        <f t="shared" si="12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1"/>
        <v/>
      </c>
      <c r="J388" s="10" t="str">
        <f t="shared" si="12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1"/>
        <v/>
      </c>
      <c r="J389" s="10" t="str">
        <f t="shared" si="12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ref="I390:I401" si="13">IF(SUM(B390:F390,H390)=0,"",SUM(B390:F390,H390))</f>
        <v/>
      </c>
      <c r="J390" s="10" t="str">
        <f t="shared" ref="J390:J401" si="14">IF(I390="","",1440-I390)</f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3"/>
        <v/>
      </c>
      <c r="J391" s="10" t="str">
        <f t="shared" si="14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3"/>
        <v/>
      </c>
      <c r="J392" s="10" t="str">
        <f t="shared" si="14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3"/>
        <v/>
      </c>
      <c r="J393" s="10" t="str">
        <f t="shared" si="14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3"/>
        <v/>
      </c>
      <c r="J394" s="10" t="str">
        <f t="shared" si="14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3"/>
        <v/>
      </c>
      <c r="J395" s="10" t="str">
        <f t="shared" si="14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3"/>
        <v/>
      </c>
      <c r="J396" s="10" t="str">
        <f t="shared" si="14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3"/>
        <v/>
      </c>
      <c r="J397" s="10" t="str">
        <f t="shared" si="14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3"/>
        <v/>
      </c>
      <c r="J398" s="10" t="str">
        <f t="shared" si="14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3"/>
        <v/>
      </c>
      <c r="J399" s="10" t="str">
        <f t="shared" si="14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3"/>
        <v/>
      </c>
      <c r="J400" s="10" t="str">
        <f t="shared" si="14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13"/>
        <v/>
      </c>
      <c r="J401" s="10" t="str">
        <f t="shared" si="14"/>
        <v/>
      </c>
      <c r="K401" s="11"/>
      <c r="L401" s="11"/>
      <c r="M401" s="11"/>
      <c r="N401" s="12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Siddharth Shukla</cp:lastModifiedBy>
  <cp:revision>0</cp:revision>
  <dcterms:created xsi:type="dcterms:W3CDTF">2026-07-24T11:49:30Z</dcterms:created>
  <dcterms:modified xsi:type="dcterms:W3CDTF">2026-09-27T16:37:48Z</dcterms:modified>
  <dc:language>en-US</dc:language>
</cp:coreProperties>
</file>